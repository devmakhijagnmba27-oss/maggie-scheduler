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me Table\2026-27\Odd Sem\"/>
    </mc:Choice>
  </mc:AlternateContent>
  <xr:revisionPtr revIDLastSave="0" documentId="13_ncr:1_{E8CE1C1B-C761-4E0B-AE83-1ED0490E2002}" xr6:coauthVersionLast="47" xr6:coauthVersionMax="47" xr10:uidLastSave="{00000000-0000-0000-0000-000000000000}"/>
  <bookViews>
    <workbookView xWindow="-120" yWindow="-120" windowWidth="29040" windowHeight="15720" xr2:uid="{306FAA15-2223-427C-A62E-CF6D33807AAC}"/>
  </bookViews>
  <sheets>
    <sheet name="Sec A" sheetId="1" r:id="rId1"/>
    <sheet name="Sec B" sheetId="2" r:id="rId2"/>
    <sheet name="Sec C" sheetId="3" r:id="rId3"/>
    <sheet name="Sec D" sheetId="4" r:id="rId4"/>
    <sheet name="Sec E" sheetId="5" r:id="rId5"/>
    <sheet name="Sec F" sheetId="6" r:id="rId6"/>
    <sheet name="Sec G" sheetId="9" r:id="rId7"/>
    <sheet name="MT" sheetId="11" r:id="rId8"/>
  </sheets>
  <definedNames>
    <definedName name="_xlnm._FilterDatabase" localSheetId="0" hidden="1">'Sec A'!$L$3:$R$3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11" l="1"/>
  <c r="P16" i="11"/>
  <c r="Q15" i="11"/>
  <c r="P15" i="11"/>
  <c r="Q14" i="11"/>
  <c r="P14" i="11"/>
  <c r="Q13" i="11"/>
  <c r="P13" i="11"/>
  <c r="Q12" i="11"/>
  <c r="P12" i="11"/>
  <c r="Q11" i="11"/>
  <c r="P11" i="11" s="1"/>
  <c r="Q10" i="11"/>
  <c r="P10" i="11"/>
  <c r="Q9" i="11"/>
  <c r="P9" i="11"/>
  <c r="Q8" i="11"/>
  <c r="P8" i="11"/>
  <c r="Q7" i="11"/>
  <c r="P7" i="11"/>
  <c r="C7" i="11"/>
  <c r="C8" i="11" s="1"/>
  <c r="C11" i="11" s="1"/>
  <c r="C12" i="11" s="1"/>
  <c r="C13" i="11" s="1"/>
  <c r="C14" i="11" s="1"/>
  <c r="C15" i="11" s="1"/>
  <c r="C16" i="11" s="1"/>
  <c r="Q6" i="11"/>
  <c r="P6" i="11"/>
  <c r="C6" i="11"/>
  <c r="Q5" i="11"/>
  <c r="P5" i="11" s="1"/>
  <c r="C5" i="11"/>
  <c r="Q4" i="11"/>
  <c r="P4" i="11"/>
  <c r="Q40" i="9" l="1"/>
  <c r="P40" i="9"/>
  <c r="S40" i="6"/>
  <c r="Q40" i="6"/>
  <c r="P40" i="6"/>
  <c r="S40" i="5"/>
  <c r="Q40" i="5"/>
  <c r="P40" i="5" s="1"/>
  <c r="S40" i="4"/>
  <c r="Q40" i="4"/>
  <c r="P40" i="4"/>
  <c r="S40" i="3"/>
  <c r="Q40" i="3"/>
  <c r="P40" i="3"/>
  <c r="S40" i="2"/>
  <c r="T40" i="2" s="1"/>
  <c r="Q40" i="2"/>
  <c r="P40" i="2"/>
  <c r="T40" i="6" l="1"/>
  <c r="T40" i="5"/>
  <c r="T40" i="4"/>
  <c r="T40" i="3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O67" i="9" l="1"/>
  <c r="Q65" i="9"/>
  <c r="P65" i="9" s="1"/>
  <c r="Q64" i="9"/>
  <c r="P64" i="9" s="1"/>
  <c r="Q63" i="9"/>
  <c r="P63" i="9" s="1"/>
  <c r="Q62" i="9"/>
  <c r="P62" i="9" s="1"/>
  <c r="Q61" i="9"/>
  <c r="P61" i="9" s="1"/>
  <c r="Q60" i="9"/>
  <c r="P60" i="9" s="1"/>
  <c r="Q59" i="9"/>
  <c r="P59" i="9" s="1"/>
  <c r="Q58" i="9"/>
  <c r="P58" i="9" s="1"/>
  <c r="Q57" i="9"/>
  <c r="P57" i="9" s="1"/>
  <c r="Q56" i="9"/>
  <c r="P56" i="9" s="1"/>
  <c r="Q55" i="9"/>
  <c r="P55" i="9" s="1"/>
  <c r="Q54" i="9"/>
  <c r="P54" i="9" s="1"/>
  <c r="Q53" i="9"/>
  <c r="P53" i="9" s="1"/>
  <c r="Q52" i="9"/>
  <c r="P52" i="9" s="1"/>
  <c r="Q51" i="9"/>
  <c r="P51" i="9" s="1"/>
  <c r="Q50" i="9"/>
  <c r="P50" i="9" s="1"/>
  <c r="Q49" i="9"/>
  <c r="P49" i="9" s="1"/>
  <c r="Q48" i="9"/>
  <c r="P48" i="9" s="1"/>
  <c r="Q47" i="9"/>
  <c r="P47" i="9" s="1"/>
  <c r="Q46" i="9"/>
  <c r="P46" i="9" s="1"/>
  <c r="Q45" i="9"/>
  <c r="P45" i="9" s="1"/>
  <c r="Q44" i="9"/>
  <c r="P44" i="9" s="1"/>
  <c r="Q43" i="9"/>
  <c r="P43" i="9" s="1"/>
  <c r="Q42" i="9"/>
  <c r="P42" i="9" s="1"/>
  <c r="Q41" i="9"/>
  <c r="P41" i="9" s="1"/>
  <c r="Q39" i="9"/>
  <c r="P39" i="9" s="1"/>
  <c r="Q38" i="9"/>
  <c r="P38" i="9" s="1"/>
  <c r="Q37" i="9"/>
  <c r="P37" i="9" s="1"/>
  <c r="Q36" i="9"/>
  <c r="P36" i="9" s="1"/>
  <c r="Q35" i="9"/>
  <c r="P35" i="9" s="1"/>
  <c r="Q34" i="9"/>
  <c r="P34" i="9" s="1"/>
  <c r="Q33" i="9"/>
  <c r="P33" i="9" s="1"/>
  <c r="Q32" i="9"/>
  <c r="P32" i="9" s="1"/>
  <c r="Q31" i="9"/>
  <c r="P31" i="9" s="1"/>
  <c r="Q30" i="9"/>
  <c r="P30" i="9" s="1"/>
  <c r="Q29" i="9"/>
  <c r="P29" i="9" s="1"/>
  <c r="Q28" i="9"/>
  <c r="P28" i="9" s="1"/>
  <c r="Q27" i="9"/>
  <c r="P27" i="9" s="1"/>
  <c r="Q26" i="9"/>
  <c r="P26" i="9" s="1"/>
  <c r="Q25" i="9"/>
  <c r="P25" i="9" s="1"/>
  <c r="Q24" i="9"/>
  <c r="P24" i="9" s="1"/>
  <c r="Q23" i="9"/>
  <c r="P23" i="9" s="1"/>
  <c r="Q22" i="9"/>
  <c r="P22" i="9" s="1"/>
  <c r="Q21" i="9"/>
  <c r="P21" i="9" s="1"/>
  <c r="Q20" i="9"/>
  <c r="P20" i="9" s="1"/>
  <c r="Q19" i="9"/>
  <c r="P19" i="9" s="1"/>
  <c r="Q18" i="9"/>
  <c r="P18" i="9" s="1"/>
  <c r="Q17" i="9"/>
  <c r="P17" i="9" s="1"/>
  <c r="Q16" i="9"/>
  <c r="P16" i="9" s="1"/>
  <c r="O67" i="6"/>
  <c r="S65" i="6"/>
  <c r="Q65" i="6"/>
  <c r="P65" i="6" s="1"/>
  <c r="S64" i="6"/>
  <c r="Q64" i="6"/>
  <c r="P64" i="6" s="1"/>
  <c r="S63" i="6"/>
  <c r="Q63" i="6"/>
  <c r="P63" i="6" s="1"/>
  <c r="S62" i="6"/>
  <c r="Q62" i="6"/>
  <c r="P62" i="6" s="1"/>
  <c r="S61" i="6"/>
  <c r="Q61" i="6"/>
  <c r="P61" i="6" s="1"/>
  <c r="S60" i="6"/>
  <c r="Q60" i="6"/>
  <c r="P60" i="6" s="1"/>
  <c r="S59" i="6"/>
  <c r="Q59" i="6"/>
  <c r="P59" i="6" s="1"/>
  <c r="S58" i="6"/>
  <c r="Q58" i="6"/>
  <c r="P58" i="6" s="1"/>
  <c r="S57" i="6"/>
  <c r="Q57" i="6"/>
  <c r="P57" i="6" s="1"/>
  <c r="S56" i="6"/>
  <c r="Q56" i="6"/>
  <c r="P56" i="6" s="1"/>
  <c r="S55" i="6"/>
  <c r="Q55" i="6"/>
  <c r="P55" i="6" s="1"/>
  <c r="S54" i="6"/>
  <c r="Q54" i="6"/>
  <c r="P54" i="6" s="1"/>
  <c r="S53" i="6"/>
  <c r="Q53" i="6"/>
  <c r="P53" i="6" s="1"/>
  <c r="S52" i="6"/>
  <c r="Q52" i="6"/>
  <c r="P52" i="6" s="1"/>
  <c r="S51" i="6"/>
  <c r="Q51" i="6"/>
  <c r="P51" i="6" s="1"/>
  <c r="S50" i="6"/>
  <c r="Q50" i="6"/>
  <c r="P50" i="6" s="1"/>
  <c r="S49" i="6"/>
  <c r="Q49" i="6"/>
  <c r="P49" i="6" s="1"/>
  <c r="S48" i="6"/>
  <c r="Q48" i="6"/>
  <c r="P48" i="6" s="1"/>
  <c r="S47" i="6"/>
  <c r="Q47" i="6"/>
  <c r="P47" i="6" s="1"/>
  <c r="S46" i="6"/>
  <c r="Q46" i="6"/>
  <c r="P46" i="6" s="1"/>
  <c r="S45" i="6"/>
  <c r="Q45" i="6"/>
  <c r="P45" i="6" s="1"/>
  <c r="S44" i="6"/>
  <c r="Q44" i="6"/>
  <c r="P44" i="6" s="1"/>
  <c r="S43" i="6"/>
  <c r="Q43" i="6"/>
  <c r="P43" i="6" s="1"/>
  <c r="S42" i="6"/>
  <c r="Q42" i="6"/>
  <c r="P42" i="6" s="1"/>
  <c r="S41" i="6"/>
  <c r="Q41" i="6"/>
  <c r="P41" i="6" s="1"/>
  <c r="S39" i="6"/>
  <c r="Q39" i="6"/>
  <c r="P39" i="6" s="1"/>
  <c r="S38" i="6"/>
  <c r="Q38" i="6"/>
  <c r="P38" i="6" s="1"/>
  <c r="S37" i="6"/>
  <c r="Q37" i="6"/>
  <c r="P37" i="6" s="1"/>
  <c r="S36" i="6"/>
  <c r="Q36" i="6"/>
  <c r="P36" i="6" s="1"/>
  <c r="S35" i="6"/>
  <c r="Q35" i="6"/>
  <c r="P35" i="6" s="1"/>
  <c r="S34" i="6"/>
  <c r="Q34" i="6"/>
  <c r="P34" i="6" s="1"/>
  <c r="S33" i="6"/>
  <c r="Q33" i="6"/>
  <c r="P33" i="6" s="1"/>
  <c r="S32" i="6"/>
  <c r="Q32" i="6"/>
  <c r="P32" i="6" s="1"/>
  <c r="S31" i="6"/>
  <c r="Q31" i="6"/>
  <c r="P31" i="6" s="1"/>
  <c r="S30" i="6"/>
  <c r="Q30" i="6"/>
  <c r="P30" i="6" s="1"/>
  <c r="S29" i="6"/>
  <c r="Q29" i="6"/>
  <c r="P29" i="6" s="1"/>
  <c r="S28" i="6"/>
  <c r="Q28" i="6"/>
  <c r="P28" i="6" s="1"/>
  <c r="S27" i="6"/>
  <c r="Q27" i="6"/>
  <c r="P27" i="6" s="1"/>
  <c r="S26" i="6"/>
  <c r="Q26" i="6"/>
  <c r="P26" i="6" s="1"/>
  <c r="S25" i="6"/>
  <c r="Q25" i="6"/>
  <c r="P25" i="6" s="1"/>
  <c r="S24" i="6"/>
  <c r="Q24" i="6"/>
  <c r="P24" i="6" s="1"/>
  <c r="S23" i="6"/>
  <c r="Q23" i="6"/>
  <c r="P23" i="6" s="1"/>
  <c r="S22" i="6"/>
  <c r="Q22" i="6"/>
  <c r="P22" i="6" s="1"/>
  <c r="S21" i="6"/>
  <c r="Q21" i="6"/>
  <c r="P21" i="6" s="1"/>
  <c r="S20" i="6"/>
  <c r="Q20" i="6"/>
  <c r="P20" i="6" s="1"/>
  <c r="S19" i="6"/>
  <c r="Q19" i="6"/>
  <c r="P19" i="6" s="1"/>
  <c r="S18" i="6"/>
  <c r="Q18" i="6"/>
  <c r="P18" i="6" s="1"/>
  <c r="S17" i="6"/>
  <c r="Q17" i="6"/>
  <c r="P17" i="6" s="1"/>
  <c r="S16" i="6"/>
  <c r="Q16" i="6"/>
  <c r="P16" i="6" s="1"/>
  <c r="O67" i="5"/>
  <c r="S65" i="5"/>
  <c r="Q65" i="5"/>
  <c r="P65" i="5" s="1"/>
  <c r="S64" i="5"/>
  <c r="Q64" i="5"/>
  <c r="P64" i="5" s="1"/>
  <c r="S63" i="5"/>
  <c r="Q63" i="5"/>
  <c r="P63" i="5" s="1"/>
  <c r="S62" i="5"/>
  <c r="Q62" i="5"/>
  <c r="P62" i="5" s="1"/>
  <c r="S61" i="5"/>
  <c r="Q61" i="5"/>
  <c r="P61" i="5" s="1"/>
  <c r="S60" i="5"/>
  <c r="Q60" i="5"/>
  <c r="P60" i="5" s="1"/>
  <c r="S59" i="5"/>
  <c r="Q59" i="5"/>
  <c r="P59" i="5" s="1"/>
  <c r="S58" i="5"/>
  <c r="Q58" i="5"/>
  <c r="P58" i="5" s="1"/>
  <c r="S57" i="5"/>
  <c r="Q57" i="5"/>
  <c r="P57" i="5" s="1"/>
  <c r="S56" i="5"/>
  <c r="Q56" i="5"/>
  <c r="P56" i="5" s="1"/>
  <c r="S55" i="5"/>
  <c r="Q55" i="5"/>
  <c r="P55" i="5" s="1"/>
  <c r="S54" i="5"/>
  <c r="Q54" i="5"/>
  <c r="P54" i="5" s="1"/>
  <c r="S53" i="5"/>
  <c r="Q53" i="5"/>
  <c r="P53" i="5" s="1"/>
  <c r="S52" i="5"/>
  <c r="Q52" i="5"/>
  <c r="P52" i="5" s="1"/>
  <c r="S51" i="5"/>
  <c r="Q51" i="5"/>
  <c r="P51" i="5" s="1"/>
  <c r="S50" i="5"/>
  <c r="Q50" i="5"/>
  <c r="P50" i="5" s="1"/>
  <c r="S49" i="5"/>
  <c r="Q49" i="5"/>
  <c r="P49" i="5" s="1"/>
  <c r="S48" i="5"/>
  <c r="Q48" i="5"/>
  <c r="P48" i="5" s="1"/>
  <c r="S47" i="5"/>
  <c r="Q47" i="5"/>
  <c r="P47" i="5" s="1"/>
  <c r="S46" i="5"/>
  <c r="Q46" i="5"/>
  <c r="P46" i="5" s="1"/>
  <c r="S45" i="5"/>
  <c r="Q45" i="5"/>
  <c r="P45" i="5" s="1"/>
  <c r="S44" i="5"/>
  <c r="Q44" i="5"/>
  <c r="P44" i="5" s="1"/>
  <c r="S43" i="5"/>
  <c r="Q43" i="5"/>
  <c r="P43" i="5" s="1"/>
  <c r="S42" i="5"/>
  <c r="Q42" i="5"/>
  <c r="P42" i="5" s="1"/>
  <c r="S41" i="5"/>
  <c r="Q41" i="5"/>
  <c r="P41" i="5" s="1"/>
  <c r="S39" i="5"/>
  <c r="Q39" i="5"/>
  <c r="P39" i="5" s="1"/>
  <c r="S38" i="5"/>
  <c r="Q38" i="5"/>
  <c r="P38" i="5" s="1"/>
  <c r="S37" i="5"/>
  <c r="Q37" i="5"/>
  <c r="P37" i="5" s="1"/>
  <c r="S36" i="5"/>
  <c r="Q36" i="5"/>
  <c r="P36" i="5" s="1"/>
  <c r="S35" i="5"/>
  <c r="Q35" i="5"/>
  <c r="P35" i="5" s="1"/>
  <c r="S34" i="5"/>
  <c r="Q34" i="5"/>
  <c r="P34" i="5" s="1"/>
  <c r="S33" i="5"/>
  <c r="Q33" i="5"/>
  <c r="P33" i="5" s="1"/>
  <c r="S32" i="5"/>
  <c r="Q32" i="5"/>
  <c r="P32" i="5" s="1"/>
  <c r="S31" i="5"/>
  <c r="Q31" i="5"/>
  <c r="P31" i="5" s="1"/>
  <c r="S30" i="5"/>
  <c r="Q30" i="5"/>
  <c r="P30" i="5" s="1"/>
  <c r="S29" i="5"/>
  <c r="Q29" i="5"/>
  <c r="P29" i="5" s="1"/>
  <c r="S28" i="5"/>
  <c r="Q28" i="5"/>
  <c r="P28" i="5" s="1"/>
  <c r="S27" i="5"/>
  <c r="Q27" i="5"/>
  <c r="P27" i="5" s="1"/>
  <c r="S26" i="5"/>
  <c r="Q26" i="5"/>
  <c r="P26" i="5" s="1"/>
  <c r="S25" i="5"/>
  <c r="Q25" i="5"/>
  <c r="P25" i="5" s="1"/>
  <c r="S24" i="5"/>
  <c r="Q24" i="5"/>
  <c r="P24" i="5" s="1"/>
  <c r="S23" i="5"/>
  <c r="Q23" i="5"/>
  <c r="P23" i="5" s="1"/>
  <c r="S22" i="5"/>
  <c r="Q22" i="5"/>
  <c r="P22" i="5" s="1"/>
  <c r="S21" i="5"/>
  <c r="Q21" i="5"/>
  <c r="P21" i="5" s="1"/>
  <c r="S20" i="5"/>
  <c r="Q20" i="5"/>
  <c r="P20" i="5" s="1"/>
  <c r="S19" i="5"/>
  <c r="Q19" i="5"/>
  <c r="P19" i="5" s="1"/>
  <c r="S18" i="5"/>
  <c r="Q18" i="5"/>
  <c r="P18" i="5" s="1"/>
  <c r="S17" i="5"/>
  <c r="Q17" i="5"/>
  <c r="P17" i="5" s="1"/>
  <c r="S16" i="5"/>
  <c r="Q16" i="5"/>
  <c r="P16" i="5" s="1"/>
  <c r="O67" i="4"/>
  <c r="S65" i="4"/>
  <c r="Q65" i="4"/>
  <c r="P65" i="4" s="1"/>
  <c r="S64" i="4"/>
  <c r="Q64" i="4"/>
  <c r="P64" i="4" s="1"/>
  <c r="S63" i="4"/>
  <c r="Q63" i="4"/>
  <c r="P63" i="4" s="1"/>
  <c r="S62" i="4"/>
  <c r="Q62" i="4"/>
  <c r="P62" i="4" s="1"/>
  <c r="S61" i="4"/>
  <c r="Q61" i="4"/>
  <c r="P61" i="4" s="1"/>
  <c r="S60" i="4"/>
  <c r="Q60" i="4"/>
  <c r="P60" i="4" s="1"/>
  <c r="S59" i="4"/>
  <c r="Q59" i="4"/>
  <c r="P59" i="4" s="1"/>
  <c r="S58" i="4"/>
  <c r="Q58" i="4"/>
  <c r="P58" i="4" s="1"/>
  <c r="S57" i="4"/>
  <c r="Q57" i="4"/>
  <c r="P57" i="4" s="1"/>
  <c r="S56" i="4"/>
  <c r="Q56" i="4"/>
  <c r="P56" i="4" s="1"/>
  <c r="S55" i="4"/>
  <c r="Q55" i="4"/>
  <c r="P55" i="4" s="1"/>
  <c r="S54" i="4"/>
  <c r="Q54" i="4"/>
  <c r="P54" i="4" s="1"/>
  <c r="S53" i="4"/>
  <c r="Q53" i="4"/>
  <c r="P53" i="4" s="1"/>
  <c r="S52" i="4"/>
  <c r="Q52" i="4"/>
  <c r="P52" i="4" s="1"/>
  <c r="S51" i="4"/>
  <c r="Q51" i="4"/>
  <c r="P51" i="4" s="1"/>
  <c r="S50" i="4"/>
  <c r="Q50" i="4"/>
  <c r="P50" i="4" s="1"/>
  <c r="S49" i="4"/>
  <c r="Q49" i="4"/>
  <c r="P49" i="4" s="1"/>
  <c r="S48" i="4"/>
  <c r="Q48" i="4"/>
  <c r="P48" i="4" s="1"/>
  <c r="S47" i="4"/>
  <c r="Q47" i="4"/>
  <c r="P47" i="4" s="1"/>
  <c r="S46" i="4"/>
  <c r="Q46" i="4"/>
  <c r="P46" i="4" s="1"/>
  <c r="S45" i="4"/>
  <c r="Q45" i="4"/>
  <c r="P45" i="4" s="1"/>
  <c r="S44" i="4"/>
  <c r="Q44" i="4"/>
  <c r="P44" i="4" s="1"/>
  <c r="S43" i="4"/>
  <c r="Q43" i="4"/>
  <c r="P43" i="4" s="1"/>
  <c r="S42" i="4"/>
  <c r="Q42" i="4"/>
  <c r="P42" i="4" s="1"/>
  <c r="S41" i="4"/>
  <c r="Q41" i="4"/>
  <c r="P41" i="4" s="1"/>
  <c r="S39" i="4"/>
  <c r="Q39" i="4"/>
  <c r="P39" i="4" s="1"/>
  <c r="S38" i="4"/>
  <c r="Q38" i="4"/>
  <c r="P38" i="4" s="1"/>
  <c r="S37" i="4"/>
  <c r="Q37" i="4"/>
  <c r="P37" i="4" s="1"/>
  <c r="S36" i="4"/>
  <c r="Q36" i="4"/>
  <c r="P36" i="4" s="1"/>
  <c r="S35" i="4"/>
  <c r="Q35" i="4"/>
  <c r="P35" i="4" s="1"/>
  <c r="S34" i="4"/>
  <c r="Q34" i="4"/>
  <c r="P34" i="4" s="1"/>
  <c r="S33" i="4"/>
  <c r="Q33" i="4"/>
  <c r="P33" i="4" s="1"/>
  <c r="S32" i="4"/>
  <c r="Q32" i="4"/>
  <c r="P32" i="4" s="1"/>
  <c r="S31" i="4"/>
  <c r="Q31" i="4"/>
  <c r="P31" i="4" s="1"/>
  <c r="S30" i="4"/>
  <c r="Q30" i="4"/>
  <c r="P30" i="4" s="1"/>
  <c r="S29" i="4"/>
  <c r="Q29" i="4"/>
  <c r="P29" i="4" s="1"/>
  <c r="S28" i="4"/>
  <c r="Q28" i="4"/>
  <c r="P28" i="4" s="1"/>
  <c r="S27" i="4"/>
  <c r="Q27" i="4"/>
  <c r="P27" i="4" s="1"/>
  <c r="S26" i="4"/>
  <c r="Q26" i="4"/>
  <c r="P26" i="4" s="1"/>
  <c r="S25" i="4"/>
  <c r="Q25" i="4"/>
  <c r="P25" i="4" s="1"/>
  <c r="S24" i="4"/>
  <c r="Q24" i="4"/>
  <c r="P24" i="4" s="1"/>
  <c r="S23" i="4"/>
  <c r="Q23" i="4"/>
  <c r="P23" i="4" s="1"/>
  <c r="S22" i="4"/>
  <c r="Q22" i="4"/>
  <c r="P22" i="4" s="1"/>
  <c r="S21" i="4"/>
  <c r="Q21" i="4"/>
  <c r="P21" i="4" s="1"/>
  <c r="S20" i="4"/>
  <c r="Q20" i="4"/>
  <c r="P20" i="4" s="1"/>
  <c r="S19" i="4"/>
  <c r="Q19" i="4"/>
  <c r="P19" i="4" s="1"/>
  <c r="S18" i="4"/>
  <c r="Q18" i="4"/>
  <c r="P18" i="4" s="1"/>
  <c r="S17" i="4"/>
  <c r="Q17" i="4"/>
  <c r="P17" i="4" s="1"/>
  <c r="S16" i="4"/>
  <c r="Q16" i="4"/>
  <c r="P16" i="4" s="1"/>
  <c r="O67" i="3"/>
  <c r="S65" i="3"/>
  <c r="Q65" i="3"/>
  <c r="P65" i="3" s="1"/>
  <c r="S64" i="3"/>
  <c r="Q64" i="3"/>
  <c r="P64" i="3" s="1"/>
  <c r="S63" i="3"/>
  <c r="Q63" i="3"/>
  <c r="P63" i="3" s="1"/>
  <c r="S62" i="3"/>
  <c r="Q62" i="3"/>
  <c r="P62" i="3" s="1"/>
  <c r="S61" i="3"/>
  <c r="Q61" i="3"/>
  <c r="P61" i="3" s="1"/>
  <c r="S60" i="3"/>
  <c r="Q60" i="3"/>
  <c r="P60" i="3" s="1"/>
  <c r="S59" i="3"/>
  <c r="Q59" i="3"/>
  <c r="P59" i="3" s="1"/>
  <c r="S58" i="3"/>
  <c r="Q58" i="3"/>
  <c r="P58" i="3" s="1"/>
  <c r="S57" i="3"/>
  <c r="Q57" i="3"/>
  <c r="P57" i="3" s="1"/>
  <c r="S56" i="3"/>
  <c r="Q56" i="3"/>
  <c r="P56" i="3" s="1"/>
  <c r="S55" i="3"/>
  <c r="Q55" i="3"/>
  <c r="P55" i="3" s="1"/>
  <c r="S54" i="3"/>
  <c r="Q54" i="3"/>
  <c r="P54" i="3" s="1"/>
  <c r="S53" i="3"/>
  <c r="Q53" i="3"/>
  <c r="P53" i="3" s="1"/>
  <c r="S52" i="3"/>
  <c r="Q52" i="3"/>
  <c r="P52" i="3" s="1"/>
  <c r="S51" i="3"/>
  <c r="Q51" i="3"/>
  <c r="P51" i="3" s="1"/>
  <c r="S50" i="3"/>
  <c r="Q50" i="3"/>
  <c r="P50" i="3" s="1"/>
  <c r="S49" i="3"/>
  <c r="Q49" i="3"/>
  <c r="P49" i="3" s="1"/>
  <c r="S48" i="3"/>
  <c r="Q48" i="3"/>
  <c r="P48" i="3" s="1"/>
  <c r="S47" i="3"/>
  <c r="Q47" i="3"/>
  <c r="P47" i="3" s="1"/>
  <c r="S46" i="3"/>
  <c r="Q46" i="3"/>
  <c r="P46" i="3" s="1"/>
  <c r="S45" i="3"/>
  <c r="Q45" i="3"/>
  <c r="P45" i="3" s="1"/>
  <c r="S44" i="3"/>
  <c r="Q44" i="3"/>
  <c r="P44" i="3" s="1"/>
  <c r="S43" i="3"/>
  <c r="Q43" i="3"/>
  <c r="P43" i="3" s="1"/>
  <c r="S42" i="3"/>
  <c r="Q42" i="3"/>
  <c r="P42" i="3" s="1"/>
  <c r="S41" i="3"/>
  <c r="Q41" i="3"/>
  <c r="P41" i="3" s="1"/>
  <c r="S39" i="3"/>
  <c r="Q39" i="3"/>
  <c r="P39" i="3" s="1"/>
  <c r="S38" i="3"/>
  <c r="Q38" i="3"/>
  <c r="P38" i="3" s="1"/>
  <c r="S37" i="3"/>
  <c r="Q37" i="3"/>
  <c r="P37" i="3" s="1"/>
  <c r="S36" i="3"/>
  <c r="Q36" i="3"/>
  <c r="P36" i="3" s="1"/>
  <c r="S35" i="3"/>
  <c r="Q35" i="3"/>
  <c r="P35" i="3" s="1"/>
  <c r="S34" i="3"/>
  <c r="Q34" i="3"/>
  <c r="P34" i="3" s="1"/>
  <c r="S33" i="3"/>
  <c r="Q33" i="3"/>
  <c r="P33" i="3" s="1"/>
  <c r="S32" i="3"/>
  <c r="Q32" i="3"/>
  <c r="P32" i="3" s="1"/>
  <c r="S31" i="3"/>
  <c r="Q31" i="3"/>
  <c r="P31" i="3" s="1"/>
  <c r="S30" i="3"/>
  <c r="Q30" i="3"/>
  <c r="P30" i="3" s="1"/>
  <c r="S29" i="3"/>
  <c r="Q29" i="3"/>
  <c r="P29" i="3" s="1"/>
  <c r="S28" i="3"/>
  <c r="Q28" i="3"/>
  <c r="P28" i="3" s="1"/>
  <c r="S27" i="3"/>
  <c r="Q27" i="3"/>
  <c r="P27" i="3" s="1"/>
  <c r="S26" i="3"/>
  <c r="Q26" i="3"/>
  <c r="P26" i="3" s="1"/>
  <c r="S25" i="3"/>
  <c r="Q25" i="3"/>
  <c r="P25" i="3" s="1"/>
  <c r="S24" i="3"/>
  <c r="Q24" i="3"/>
  <c r="P24" i="3" s="1"/>
  <c r="S23" i="3"/>
  <c r="Q23" i="3"/>
  <c r="P23" i="3" s="1"/>
  <c r="S22" i="3"/>
  <c r="Q22" i="3"/>
  <c r="P22" i="3" s="1"/>
  <c r="S21" i="3"/>
  <c r="Q21" i="3"/>
  <c r="P21" i="3" s="1"/>
  <c r="S20" i="3"/>
  <c r="Q20" i="3"/>
  <c r="P20" i="3" s="1"/>
  <c r="S19" i="3"/>
  <c r="Q19" i="3"/>
  <c r="P19" i="3" s="1"/>
  <c r="S18" i="3"/>
  <c r="Q18" i="3"/>
  <c r="P18" i="3" s="1"/>
  <c r="S17" i="3"/>
  <c r="Q17" i="3"/>
  <c r="P17" i="3" s="1"/>
  <c r="S16" i="3"/>
  <c r="Q16" i="3"/>
  <c r="P16" i="3" s="1"/>
  <c r="O67" i="2"/>
  <c r="Q65" i="2"/>
  <c r="P65" i="2" s="1"/>
  <c r="Q64" i="2"/>
  <c r="P64" i="2" s="1"/>
  <c r="Q63" i="2"/>
  <c r="P63" i="2" s="1"/>
  <c r="Q62" i="2"/>
  <c r="P62" i="2" s="1"/>
  <c r="Q61" i="2"/>
  <c r="P61" i="2" s="1"/>
  <c r="Q60" i="2"/>
  <c r="P60" i="2" s="1"/>
  <c r="Q59" i="2"/>
  <c r="P59" i="2" s="1"/>
  <c r="Q58" i="2"/>
  <c r="P58" i="2" s="1"/>
  <c r="Q57" i="2"/>
  <c r="P57" i="2" s="1"/>
  <c r="Q56" i="2"/>
  <c r="P56" i="2" s="1"/>
  <c r="Q55" i="2"/>
  <c r="P55" i="2" s="1"/>
  <c r="Q54" i="2"/>
  <c r="P54" i="2" s="1"/>
  <c r="Q53" i="2"/>
  <c r="P53" i="2" s="1"/>
  <c r="Q52" i="2"/>
  <c r="P52" i="2" s="1"/>
  <c r="Q51" i="2"/>
  <c r="P51" i="2" s="1"/>
  <c r="Q50" i="2"/>
  <c r="P50" i="2" s="1"/>
  <c r="Q49" i="2"/>
  <c r="P49" i="2" s="1"/>
  <c r="Q48" i="2"/>
  <c r="P48" i="2" s="1"/>
  <c r="Q47" i="2"/>
  <c r="P47" i="2" s="1"/>
  <c r="Q46" i="2"/>
  <c r="P46" i="2" s="1"/>
  <c r="Q45" i="2"/>
  <c r="P45" i="2" s="1"/>
  <c r="Q44" i="2"/>
  <c r="P44" i="2" s="1"/>
  <c r="Q43" i="2"/>
  <c r="P43" i="2" s="1"/>
  <c r="Q42" i="2"/>
  <c r="P42" i="2" s="1"/>
  <c r="Q41" i="2"/>
  <c r="P41" i="2" s="1"/>
  <c r="Q39" i="2"/>
  <c r="P39" i="2" s="1"/>
  <c r="Q38" i="2"/>
  <c r="P38" i="2" s="1"/>
  <c r="Q37" i="2"/>
  <c r="P37" i="2" s="1"/>
  <c r="Q36" i="2"/>
  <c r="P36" i="2" s="1"/>
  <c r="Q35" i="2"/>
  <c r="P35" i="2" s="1"/>
  <c r="Q34" i="2"/>
  <c r="P34" i="2" s="1"/>
  <c r="Q33" i="2"/>
  <c r="P33" i="2" s="1"/>
  <c r="Q32" i="2"/>
  <c r="P32" i="2" s="1"/>
  <c r="Q31" i="2"/>
  <c r="P31" i="2" s="1"/>
  <c r="Q30" i="2"/>
  <c r="P30" i="2" s="1"/>
  <c r="Q29" i="2"/>
  <c r="P29" i="2" s="1"/>
  <c r="Q28" i="2"/>
  <c r="P28" i="2" s="1"/>
  <c r="Q27" i="2"/>
  <c r="P27" i="2" s="1"/>
  <c r="Q26" i="2"/>
  <c r="P26" i="2" s="1"/>
  <c r="Q25" i="2"/>
  <c r="P25" i="2" s="1"/>
  <c r="Q24" i="2"/>
  <c r="P24" i="2" s="1"/>
  <c r="Q23" i="2"/>
  <c r="P23" i="2" s="1"/>
  <c r="Q22" i="2"/>
  <c r="P22" i="2" s="1"/>
  <c r="Q21" i="2"/>
  <c r="P21" i="2" s="1"/>
  <c r="Q20" i="2"/>
  <c r="P20" i="2" s="1"/>
  <c r="Q19" i="2"/>
  <c r="P19" i="2" s="1"/>
  <c r="Q18" i="2"/>
  <c r="P18" i="2" s="1"/>
  <c r="Q17" i="2"/>
  <c r="P17" i="2" s="1"/>
  <c r="Q16" i="2"/>
  <c r="P16" i="2" s="1"/>
  <c r="Q27" i="1"/>
  <c r="P27" i="1" s="1"/>
  <c r="Q16" i="1"/>
  <c r="P16" i="1" s="1"/>
  <c r="Q15" i="9"/>
  <c r="P15" i="9" s="1"/>
  <c r="Q14" i="9"/>
  <c r="P14" i="9" s="1"/>
  <c r="Q13" i="9"/>
  <c r="P13" i="9" s="1"/>
  <c r="Q12" i="9"/>
  <c r="P12" i="9" s="1"/>
  <c r="Q11" i="9"/>
  <c r="P11" i="9" s="1"/>
  <c r="Q10" i="9"/>
  <c r="P10" i="9" s="1"/>
  <c r="Q9" i="9"/>
  <c r="P9" i="9" s="1"/>
  <c r="Q8" i="9"/>
  <c r="P8" i="9" s="1"/>
  <c r="S15" i="6"/>
  <c r="Q15" i="6"/>
  <c r="P15" i="6" s="1"/>
  <c r="S14" i="6"/>
  <c r="Q14" i="6"/>
  <c r="P14" i="6" s="1"/>
  <c r="S13" i="6"/>
  <c r="Q13" i="6"/>
  <c r="P13" i="6" s="1"/>
  <c r="S12" i="6"/>
  <c r="Q12" i="6"/>
  <c r="P12" i="6" s="1"/>
  <c r="S11" i="6"/>
  <c r="Q11" i="6"/>
  <c r="P11" i="6" s="1"/>
  <c r="S10" i="6"/>
  <c r="Q10" i="6"/>
  <c r="P10" i="6" s="1"/>
  <c r="S9" i="6"/>
  <c r="Q9" i="6"/>
  <c r="P9" i="6" s="1"/>
  <c r="S8" i="6"/>
  <c r="Q8" i="6"/>
  <c r="P8" i="6" s="1"/>
  <c r="S15" i="5"/>
  <c r="Q15" i="5"/>
  <c r="P15" i="5" s="1"/>
  <c r="S14" i="5"/>
  <c r="Q14" i="5"/>
  <c r="P14" i="5" s="1"/>
  <c r="S13" i="5"/>
  <c r="Q13" i="5"/>
  <c r="P13" i="5" s="1"/>
  <c r="S12" i="5"/>
  <c r="Q12" i="5"/>
  <c r="P12" i="5" s="1"/>
  <c r="S11" i="5"/>
  <c r="Q11" i="5"/>
  <c r="P11" i="5" s="1"/>
  <c r="S10" i="5"/>
  <c r="Q10" i="5"/>
  <c r="P10" i="5" s="1"/>
  <c r="S9" i="5"/>
  <c r="Q9" i="5"/>
  <c r="P9" i="5" s="1"/>
  <c r="S8" i="5"/>
  <c r="Q8" i="5"/>
  <c r="P8" i="5" s="1"/>
  <c r="S15" i="4"/>
  <c r="Q15" i="4"/>
  <c r="P15" i="4" s="1"/>
  <c r="S14" i="4"/>
  <c r="Q14" i="4"/>
  <c r="P14" i="4" s="1"/>
  <c r="S13" i="4"/>
  <c r="Q13" i="4"/>
  <c r="P13" i="4" s="1"/>
  <c r="S12" i="4"/>
  <c r="Q12" i="4"/>
  <c r="P12" i="4" s="1"/>
  <c r="S11" i="4"/>
  <c r="Q11" i="4"/>
  <c r="P11" i="4" s="1"/>
  <c r="S10" i="4"/>
  <c r="Q10" i="4"/>
  <c r="P10" i="4" s="1"/>
  <c r="S9" i="4"/>
  <c r="Q9" i="4"/>
  <c r="P9" i="4" s="1"/>
  <c r="S8" i="4"/>
  <c r="Q8" i="4"/>
  <c r="P8" i="4" s="1"/>
  <c r="S15" i="3"/>
  <c r="T15" i="3" s="1"/>
  <c r="Q15" i="3"/>
  <c r="P15" i="3" s="1"/>
  <c r="S14" i="3"/>
  <c r="T14" i="3" s="1"/>
  <c r="Q14" i="3"/>
  <c r="P14" i="3" s="1"/>
  <c r="S13" i="3"/>
  <c r="Q13" i="3"/>
  <c r="P13" i="3" s="1"/>
  <c r="S12" i="3"/>
  <c r="Q12" i="3"/>
  <c r="P12" i="3" s="1"/>
  <c r="S11" i="3"/>
  <c r="T11" i="3" s="1"/>
  <c r="Q11" i="3"/>
  <c r="P11" i="3" s="1"/>
  <c r="S10" i="3"/>
  <c r="Q10" i="3"/>
  <c r="P10" i="3" s="1"/>
  <c r="S9" i="3"/>
  <c r="Q9" i="3"/>
  <c r="P9" i="3" s="1"/>
  <c r="S8" i="3"/>
  <c r="Q8" i="3"/>
  <c r="T15" i="2"/>
  <c r="Q15" i="2"/>
  <c r="P15" i="2" s="1"/>
  <c r="T14" i="2"/>
  <c r="Q14" i="2"/>
  <c r="P14" i="2" s="1"/>
  <c r="Q13" i="2"/>
  <c r="P13" i="2" s="1"/>
  <c r="Q12" i="2"/>
  <c r="P12" i="2" s="1"/>
  <c r="T11" i="2"/>
  <c r="Q11" i="2"/>
  <c r="P11" i="2" s="1"/>
  <c r="T10" i="2"/>
  <c r="Q10" i="2"/>
  <c r="P10" i="2" s="1"/>
  <c r="Q9" i="2"/>
  <c r="P9" i="2" s="1"/>
  <c r="Q8" i="2"/>
  <c r="T10" i="3" l="1"/>
  <c r="T12" i="3"/>
  <c r="T17" i="5"/>
  <c r="T19" i="5"/>
  <c r="T21" i="5"/>
  <c r="T23" i="5"/>
  <c r="T25" i="5"/>
  <c r="T27" i="5"/>
  <c r="T29" i="5"/>
  <c r="T31" i="5"/>
  <c r="T33" i="5"/>
  <c r="T35" i="5"/>
  <c r="T37" i="5"/>
  <c r="T39" i="5"/>
  <c r="T41" i="5"/>
  <c r="T43" i="5"/>
  <c r="T45" i="5"/>
  <c r="T47" i="5"/>
  <c r="T49" i="5"/>
  <c r="T51" i="5"/>
  <c r="T53" i="5"/>
  <c r="T55" i="5"/>
  <c r="T57" i="5"/>
  <c r="T59" i="5"/>
  <c r="T61" i="5"/>
  <c r="T63" i="5"/>
  <c r="T65" i="5"/>
  <c r="T9" i="3"/>
  <c r="T18" i="3"/>
  <c r="T20" i="3"/>
  <c r="T22" i="3"/>
  <c r="T24" i="3"/>
  <c r="T26" i="3"/>
  <c r="T28" i="3"/>
  <c r="T30" i="3"/>
  <c r="T32" i="3"/>
  <c r="T34" i="3"/>
  <c r="T36" i="3"/>
  <c r="T38" i="3"/>
  <c r="T42" i="3"/>
  <c r="T44" i="3"/>
  <c r="T46" i="3"/>
  <c r="T48" i="3"/>
  <c r="T50" i="3"/>
  <c r="T52" i="3"/>
  <c r="T54" i="3"/>
  <c r="T56" i="3"/>
  <c r="T58" i="3"/>
  <c r="T60" i="3"/>
  <c r="T62" i="3"/>
  <c r="T64" i="3"/>
  <c r="T9" i="2"/>
  <c r="T18" i="5"/>
  <c r="T20" i="5"/>
  <c r="T22" i="5"/>
  <c r="T24" i="5"/>
  <c r="T26" i="5"/>
  <c r="T28" i="5"/>
  <c r="T30" i="5"/>
  <c r="T32" i="5"/>
  <c r="T34" i="5"/>
  <c r="T36" i="5"/>
  <c r="T38" i="5"/>
  <c r="T42" i="5"/>
  <c r="T44" i="5"/>
  <c r="T46" i="5"/>
  <c r="T48" i="5"/>
  <c r="T50" i="5"/>
  <c r="T52" i="5"/>
  <c r="T54" i="5"/>
  <c r="T56" i="5"/>
  <c r="T58" i="5"/>
  <c r="T60" i="5"/>
  <c r="T62" i="5"/>
  <c r="T64" i="5"/>
  <c r="T17" i="6"/>
  <c r="T19" i="6"/>
  <c r="T21" i="6"/>
  <c r="T23" i="6"/>
  <c r="T25" i="6"/>
  <c r="T27" i="6"/>
  <c r="T29" i="6"/>
  <c r="T31" i="6"/>
  <c r="T33" i="6"/>
  <c r="T35" i="6"/>
  <c r="T37" i="6"/>
  <c r="T39" i="6"/>
  <c r="T41" i="6"/>
  <c r="T43" i="6"/>
  <c r="T45" i="6"/>
  <c r="T47" i="6"/>
  <c r="T49" i="6"/>
  <c r="T51" i="6"/>
  <c r="T53" i="6"/>
  <c r="T55" i="6"/>
  <c r="T57" i="6"/>
  <c r="T59" i="6"/>
  <c r="T61" i="6"/>
  <c r="T63" i="6"/>
  <c r="T65" i="6"/>
  <c r="T9" i="6"/>
  <c r="T11" i="6"/>
  <c r="T13" i="6"/>
  <c r="T15" i="6"/>
  <c r="T18" i="6"/>
  <c r="T20" i="6"/>
  <c r="T22" i="6"/>
  <c r="T24" i="6"/>
  <c r="T26" i="6"/>
  <c r="T28" i="6"/>
  <c r="T30" i="6"/>
  <c r="T32" i="6"/>
  <c r="T34" i="6"/>
  <c r="T36" i="6"/>
  <c r="T38" i="6"/>
  <c r="T42" i="6"/>
  <c r="T44" i="6"/>
  <c r="T46" i="6"/>
  <c r="T48" i="6"/>
  <c r="T50" i="6"/>
  <c r="T52" i="6"/>
  <c r="T54" i="6"/>
  <c r="T56" i="6"/>
  <c r="T58" i="6"/>
  <c r="T60" i="6"/>
  <c r="T62" i="6"/>
  <c r="T64" i="6"/>
  <c r="T10" i="4"/>
  <c r="T12" i="4"/>
  <c r="T14" i="4"/>
  <c r="T18" i="4"/>
  <c r="T20" i="4"/>
  <c r="T22" i="4"/>
  <c r="T24" i="4"/>
  <c r="T26" i="4"/>
  <c r="T28" i="4"/>
  <c r="T30" i="4"/>
  <c r="T32" i="4"/>
  <c r="T34" i="4"/>
  <c r="T36" i="4"/>
  <c r="T38" i="4"/>
  <c r="T42" i="4"/>
  <c r="T44" i="4"/>
  <c r="T46" i="4"/>
  <c r="T48" i="4"/>
  <c r="T50" i="4"/>
  <c r="T52" i="4"/>
  <c r="T54" i="4"/>
  <c r="T56" i="4"/>
  <c r="T58" i="4"/>
  <c r="T60" i="4"/>
  <c r="T62" i="4"/>
  <c r="T64" i="4"/>
  <c r="T17" i="4"/>
  <c r="T19" i="4"/>
  <c r="T21" i="4"/>
  <c r="T23" i="4"/>
  <c r="T25" i="4"/>
  <c r="T27" i="4"/>
  <c r="T29" i="4"/>
  <c r="T31" i="4"/>
  <c r="T33" i="4"/>
  <c r="T35" i="4"/>
  <c r="T37" i="4"/>
  <c r="T39" i="4"/>
  <c r="T41" i="4"/>
  <c r="T43" i="4"/>
  <c r="T45" i="4"/>
  <c r="T47" i="4"/>
  <c r="T49" i="4"/>
  <c r="T51" i="4"/>
  <c r="T53" i="4"/>
  <c r="T55" i="4"/>
  <c r="T57" i="4"/>
  <c r="T59" i="4"/>
  <c r="T61" i="4"/>
  <c r="T63" i="4"/>
  <c r="T65" i="4"/>
  <c r="T13" i="3"/>
  <c r="T17" i="3"/>
  <c r="T19" i="3"/>
  <c r="T21" i="3"/>
  <c r="T23" i="3"/>
  <c r="T25" i="3"/>
  <c r="T27" i="3"/>
  <c r="T29" i="3"/>
  <c r="T31" i="3"/>
  <c r="T33" i="3"/>
  <c r="T35" i="3"/>
  <c r="T37" i="3"/>
  <c r="T39" i="3"/>
  <c r="T41" i="3"/>
  <c r="T43" i="3"/>
  <c r="T45" i="3"/>
  <c r="T47" i="3"/>
  <c r="T49" i="3"/>
  <c r="T51" i="3"/>
  <c r="T53" i="3"/>
  <c r="T55" i="3"/>
  <c r="T57" i="3"/>
  <c r="T59" i="3"/>
  <c r="T61" i="3"/>
  <c r="T63" i="3"/>
  <c r="T65" i="3"/>
  <c r="T17" i="2"/>
  <c r="T19" i="2"/>
  <c r="T21" i="2"/>
  <c r="T23" i="2"/>
  <c r="T25" i="2"/>
  <c r="T27" i="2"/>
  <c r="T29" i="2"/>
  <c r="T31" i="2"/>
  <c r="T33" i="2"/>
  <c r="T35" i="2"/>
  <c r="T37" i="2"/>
  <c r="T39" i="2"/>
  <c r="T41" i="2"/>
  <c r="T43" i="2"/>
  <c r="T45" i="2"/>
  <c r="T47" i="2"/>
  <c r="T49" i="2"/>
  <c r="T51" i="2"/>
  <c r="T53" i="2"/>
  <c r="T55" i="2"/>
  <c r="T57" i="2"/>
  <c r="T59" i="2"/>
  <c r="T61" i="2"/>
  <c r="T63" i="2"/>
  <c r="T65" i="2"/>
  <c r="T18" i="2"/>
  <c r="T20" i="2"/>
  <c r="T22" i="2"/>
  <c r="T24" i="2"/>
  <c r="T26" i="2"/>
  <c r="T28" i="2"/>
  <c r="T30" i="2"/>
  <c r="T32" i="2"/>
  <c r="T34" i="2"/>
  <c r="T36" i="2"/>
  <c r="T38" i="2"/>
  <c r="T42" i="2"/>
  <c r="T44" i="2"/>
  <c r="T46" i="2"/>
  <c r="T48" i="2"/>
  <c r="T50" i="2"/>
  <c r="T52" i="2"/>
  <c r="T54" i="2"/>
  <c r="T56" i="2"/>
  <c r="T58" i="2"/>
  <c r="T60" i="2"/>
  <c r="T62" i="2"/>
  <c r="T64" i="2"/>
  <c r="T16" i="6"/>
  <c r="P67" i="6"/>
  <c r="Q67" i="6"/>
  <c r="P67" i="5"/>
  <c r="T16" i="5"/>
  <c r="Q67" i="5"/>
  <c r="P67" i="4"/>
  <c r="T16" i="4"/>
  <c r="Q67" i="4"/>
  <c r="T16" i="3"/>
  <c r="T16" i="2"/>
  <c r="P67" i="2"/>
  <c r="Q67" i="2"/>
  <c r="T10" i="6"/>
  <c r="T12" i="6"/>
  <c r="T14" i="6"/>
  <c r="T9" i="5"/>
  <c r="T11" i="5"/>
  <c r="T13" i="5"/>
  <c r="T15" i="5"/>
  <c r="T10" i="5"/>
  <c r="T12" i="5"/>
  <c r="T14" i="5"/>
  <c r="T9" i="4"/>
  <c r="T11" i="4"/>
  <c r="T13" i="4"/>
  <c r="T15" i="4"/>
  <c r="T13" i="2"/>
  <c r="T12" i="2"/>
  <c r="T8" i="6"/>
  <c r="T8" i="5"/>
  <c r="T8" i="4"/>
  <c r="P8" i="3"/>
  <c r="P8" i="2"/>
  <c r="T8" i="3" l="1"/>
  <c r="T8" i="2"/>
  <c r="S4" i="3" l="1"/>
  <c r="S4" i="5"/>
  <c r="S4" i="6"/>
  <c r="S4" i="4"/>
  <c r="Q7" i="9" l="1"/>
  <c r="P7" i="9"/>
  <c r="Q6" i="9"/>
  <c r="P6" i="9" s="1"/>
  <c r="C6" i="9"/>
  <c r="C7" i="9" s="1"/>
  <c r="C8" i="9" s="1"/>
  <c r="C9" i="9" s="1"/>
  <c r="C11" i="9" s="1"/>
  <c r="C12" i="9" s="1"/>
  <c r="C13" i="9" s="1"/>
  <c r="C14" i="9" s="1"/>
  <c r="C15" i="9" s="1"/>
  <c r="C18" i="9" s="1"/>
  <c r="C19" i="9" s="1"/>
  <c r="C20" i="9" s="1"/>
  <c r="C21" i="9" s="1"/>
  <c r="C22" i="9" s="1"/>
  <c r="Q5" i="9"/>
  <c r="P5" i="9" s="1"/>
  <c r="C5" i="9"/>
  <c r="Q4" i="9"/>
  <c r="S7" i="6"/>
  <c r="Q7" i="6"/>
  <c r="P7" i="6"/>
  <c r="S6" i="6"/>
  <c r="Q6" i="6"/>
  <c r="P6" i="6"/>
  <c r="S5" i="6"/>
  <c r="Q5" i="6"/>
  <c r="C5" i="6"/>
  <c r="C6" i="6" s="1"/>
  <c r="C7" i="6" s="1"/>
  <c r="C8" i="6" s="1"/>
  <c r="C9" i="6" s="1"/>
  <c r="C11" i="6" s="1"/>
  <c r="C12" i="6" s="1"/>
  <c r="C13" i="6" s="1"/>
  <c r="C14" i="6" s="1"/>
  <c r="C15" i="6" s="1"/>
  <c r="C18" i="6" s="1"/>
  <c r="C19" i="6" s="1"/>
  <c r="C20" i="6" s="1"/>
  <c r="C21" i="6" s="1"/>
  <c r="C22" i="6" s="1"/>
  <c r="Q4" i="6"/>
  <c r="P4" i="6" s="1"/>
  <c r="S7" i="5"/>
  <c r="Q7" i="5"/>
  <c r="P7" i="5" s="1"/>
  <c r="S6" i="5"/>
  <c r="Q6" i="5"/>
  <c r="P6" i="5"/>
  <c r="S5" i="5"/>
  <c r="Q5" i="5"/>
  <c r="P5" i="5" s="1"/>
  <c r="C5" i="5"/>
  <c r="C6" i="5" s="1"/>
  <c r="C7" i="5" s="1"/>
  <c r="C8" i="5" s="1"/>
  <c r="C9" i="5" s="1"/>
  <c r="C11" i="5" s="1"/>
  <c r="C12" i="5" s="1"/>
  <c r="C13" i="5" s="1"/>
  <c r="C14" i="5" s="1"/>
  <c r="C15" i="5" s="1"/>
  <c r="C18" i="5" s="1"/>
  <c r="C19" i="5" s="1"/>
  <c r="C20" i="5" s="1"/>
  <c r="C21" i="5" s="1"/>
  <c r="C22" i="5" s="1"/>
  <c r="Q4" i="5"/>
  <c r="S7" i="4"/>
  <c r="Q7" i="4"/>
  <c r="P7" i="4" s="1"/>
  <c r="S6" i="4"/>
  <c r="Q6" i="4"/>
  <c r="P6" i="4" s="1"/>
  <c r="S5" i="4"/>
  <c r="Q5" i="4"/>
  <c r="P5" i="4" s="1"/>
  <c r="C5" i="4"/>
  <c r="C6" i="4" s="1"/>
  <c r="C7" i="4" s="1"/>
  <c r="C8" i="4" s="1"/>
  <c r="C9" i="4" s="1"/>
  <c r="C11" i="4" s="1"/>
  <c r="C12" i="4" s="1"/>
  <c r="C13" i="4" s="1"/>
  <c r="C14" i="4" s="1"/>
  <c r="C15" i="4" s="1"/>
  <c r="C18" i="4" s="1"/>
  <c r="C19" i="4" s="1"/>
  <c r="C20" i="4" s="1"/>
  <c r="C21" i="4" s="1"/>
  <c r="C22" i="4" s="1"/>
  <c r="Q4" i="4"/>
  <c r="P4" i="4"/>
  <c r="T4" i="4" s="1"/>
  <c r="S7" i="3"/>
  <c r="Q7" i="3"/>
  <c r="P7" i="3" s="1"/>
  <c r="S6" i="3"/>
  <c r="Q6" i="3"/>
  <c r="P6" i="3"/>
  <c r="S5" i="3"/>
  <c r="Q5" i="3"/>
  <c r="P5" i="3" s="1"/>
  <c r="C5" i="3"/>
  <c r="C6" i="3" s="1"/>
  <c r="C7" i="3" s="1"/>
  <c r="C8" i="3" s="1"/>
  <c r="C9" i="3" s="1"/>
  <c r="C11" i="3" s="1"/>
  <c r="C12" i="3" s="1"/>
  <c r="C13" i="3" s="1"/>
  <c r="C14" i="3" s="1"/>
  <c r="C15" i="3" s="1"/>
  <c r="C18" i="3" s="1"/>
  <c r="C19" i="3" s="1"/>
  <c r="C20" i="3" s="1"/>
  <c r="C21" i="3" s="1"/>
  <c r="C22" i="3" s="1"/>
  <c r="Q4" i="3"/>
  <c r="Q7" i="2"/>
  <c r="P7" i="2"/>
  <c r="Q6" i="2"/>
  <c r="P6" i="2"/>
  <c r="Q5" i="2"/>
  <c r="C5" i="2"/>
  <c r="C6" i="2" s="1"/>
  <c r="C7" i="2" s="1"/>
  <c r="C8" i="2" s="1"/>
  <c r="C9" i="2" s="1"/>
  <c r="C11" i="2" s="1"/>
  <c r="C12" i="2" s="1"/>
  <c r="C13" i="2" s="1"/>
  <c r="C14" i="2" s="1"/>
  <c r="C15" i="2" s="1"/>
  <c r="C18" i="2" s="1"/>
  <c r="C19" i="2" s="1"/>
  <c r="C20" i="2" s="1"/>
  <c r="C21" i="2" s="1"/>
  <c r="C22" i="2" s="1"/>
  <c r="Q4" i="2"/>
  <c r="P4" i="2" s="1"/>
  <c r="O68" i="1"/>
  <c r="Q62" i="1"/>
  <c r="P62" i="1" s="1"/>
  <c r="Q63" i="1"/>
  <c r="P63" i="1" s="1"/>
  <c r="Q64" i="1"/>
  <c r="P64" i="1" s="1"/>
  <c r="Q65" i="1"/>
  <c r="P65" i="1" s="1"/>
  <c r="Q66" i="1"/>
  <c r="P66" i="1" s="1"/>
  <c r="P4" i="3" l="1"/>
  <c r="Q67" i="3"/>
  <c r="P4" i="9"/>
  <c r="P67" i="9" s="1"/>
  <c r="Q67" i="9"/>
  <c r="S67" i="5"/>
  <c r="S67" i="3"/>
  <c r="S67" i="2"/>
  <c r="S67" i="6"/>
  <c r="T7" i="6"/>
  <c r="S67" i="4"/>
  <c r="T7" i="5"/>
  <c r="T6" i="5"/>
  <c r="T6" i="3"/>
  <c r="T6" i="2"/>
  <c r="T7" i="2"/>
  <c r="T5" i="4"/>
  <c r="T7" i="4"/>
  <c r="T6" i="4"/>
  <c r="T5" i="3"/>
  <c r="T7" i="3"/>
  <c r="P4" i="5"/>
  <c r="T4" i="5" s="1"/>
  <c r="T6" i="6"/>
  <c r="C23" i="9"/>
  <c r="C23" i="6"/>
  <c r="T4" i="6"/>
  <c r="P5" i="6"/>
  <c r="T5" i="6" s="1"/>
  <c r="C23" i="5"/>
  <c r="T5" i="5"/>
  <c r="C23" i="4"/>
  <c r="C23" i="3"/>
  <c r="C23" i="2"/>
  <c r="T4" i="2"/>
  <c r="P5" i="2"/>
  <c r="Q29" i="1"/>
  <c r="P29" i="1" s="1"/>
  <c r="Q30" i="1"/>
  <c r="P30" i="1" s="1"/>
  <c r="Q31" i="1"/>
  <c r="P31" i="1" s="1"/>
  <c r="Q32" i="1"/>
  <c r="P32" i="1" s="1"/>
  <c r="Q33" i="1"/>
  <c r="P33" i="1" s="1"/>
  <c r="Q34" i="1"/>
  <c r="P34" i="1" s="1"/>
  <c r="Q35" i="1"/>
  <c r="P35" i="1" s="1"/>
  <c r="Q36" i="1"/>
  <c r="P36" i="1" s="1"/>
  <c r="Q37" i="1"/>
  <c r="P37" i="1" s="1"/>
  <c r="Q38" i="1"/>
  <c r="P38" i="1" s="1"/>
  <c r="Q39" i="1"/>
  <c r="P39" i="1" s="1"/>
  <c r="Q40" i="1"/>
  <c r="P40" i="1" s="1"/>
  <c r="Q41" i="1"/>
  <c r="P41" i="1" s="1"/>
  <c r="Q42" i="1"/>
  <c r="P42" i="1" s="1"/>
  <c r="Q43" i="1"/>
  <c r="P43" i="1" s="1"/>
  <c r="Q44" i="1"/>
  <c r="P44" i="1" s="1"/>
  <c r="Q45" i="1"/>
  <c r="P45" i="1" s="1"/>
  <c r="Q46" i="1"/>
  <c r="P46" i="1" s="1"/>
  <c r="Q47" i="1"/>
  <c r="P47" i="1" s="1"/>
  <c r="Q48" i="1"/>
  <c r="P48" i="1" s="1"/>
  <c r="Q49" i="1"/>
  <c r="P49" i="1" s="1"/>
  <c r="Q50" i="1"/>
  <c r="P50" i="1" s="1"/>
  <c r="Q51" i="1"/>
  <c r="P51" i="1" s="1"/>
  <c r="Q52" i="1"/>
  <c r="P52" i="1" s="1"/>
  <c r="Q53" i="1"/>
  <c r="P53" i="1" s="1"/>
  <c r="Q54" i="1"/>
  <c r="P54" i="1" s="1"/>
  <c r="Q55" i="1"/>
  <c r="P55" i="1" s="1"/>
  <c r="Q56" i="1"/>
  <c r="P56" i="1" s="1"/>
  <c r="Q57" i="1"/>
  <c r="P57" i="1" s="1"/>
  <c r="Q58" i="1"/>
  <c r="P58" i="1" s="1"/>
  <c r="Q59" i="1"/>
  <c r="P59" i="1" s="1"/>
  <c r="Q60" i="1"/>
  <c r="P60" i="1" s="1"/>
  <c r="Q61" i="1"/>
  <c r="P61" i="1" s="1"/>
  <c r="T4" i="3" l="1"/>
  <c r="P67" i="3"/>
  <c r="T67" i="4"/>
  <c r="T67" i="5"/>
  <c r="T67" i="3"/>
  <c r="T67" i="6"/>
  <c r="T5" i="2"/>
  <c r="T67" i="2" s="1"/>
  <c r="C5" i="1"/>
  <c r="C6" i="1" s="1"/>
  <c r="C7" i="1" s="1"/>
  <c r="C8" i="1" s="1"/>
  <c r="C9" i="1" s="1"/>
  <c r="C11" i="1" s="1"/>
  <c r="C12" i="1" s="1"/>
  <c r="C13" i="1" s="1"/>
  <c r="C14" i="1" s="1"/>
  <c r="C15" i="1" s="1"/>
  <c r="C18" i="1" s="1"/>
  <c r="C19" i="1" s="1"/>
  <c r="C20" i="1" s="1"/>
  <c r="C21" i="1" s="1"/>
  <c r="C22" i="1" s="1"/>
  <c r="C23" i="1" l="1"/>
  <c r="Q5" i="1" l="1"/>
  <c r="P5" i="1" s="1"/>
  <c r="Q6" i="1"/>
  <c r="P6" i="1" s="1"/>
  <c r="Q7" i="1"/>
  <c r="P7" i="1" s="1"/>
  <c r="Q8" i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Q17" i="1"/>
  <c r="P17" i="1" s="1"/>
  <c r="Q18" i="1"/>
  <c r="Q19" i="1"/>
  <c r="P19" i="1" s="1"/>
  <c r="Q20" i="1"/>
  <c r="P20" i="1" s="1"/>
  <c r="Q21" i="1"/>
  <c r="P21" i="1" s="1"/>
  <c r="Q22" i="1"/>
  <c r="P22" i="1" s="1"/>
  <c r="Q23" i="1"/>
  <c r="P23" i="1" s="1"/>
  <c r="Q24" i="1"/>
  <c r="P24" i="1" s="1"/>
  <c r="Q25" i="1"/>
  <c r="P25" i="1" s="1"/>
  <c r="Q26" i="1"/>
  <c r="P26" i="1" s="1"/>
  <c r="Q28" i="1"/>
  <c r="P28" i="1" s="1"/>
  <c r="Q4" i="1"/>
  <c r="P4" i="1" s="1"/>
  <c r="P18" i="1" l="1"/>
  <c r="Q68" i="1"/>
  <c r="P8" i="1"/>
  <c r="P68" i="1" l="1"/>
</calcChain>
</file>

<file path=xl/sharedStrings.xml><?xml version="1.0" encoding="utf-8"?>
<sst xmlns="http://schemas.openxmlformats.org/spreadsheetml/2006/main" count="2380" uniqueCount="219">
  <si>
    <t>Date</t>
  </si>
  <si>
    <t>Day</t>
  </si>
  <si>
    <t>9:00 - 10:15</t>
  </si>
  <si>
    <t>10:20-11:35</t>
  </si>
  <si>
    <t>11:40-12:55</t>
  </si>
  <si>
    <t>12:55-01:40</t>
  </si>
  <si>
    <t>01:40-02:55</t>
  </si>
  <si>
    <t>03:00-04:15</t>
  </si>
  <si>
    <t>04:20-05:35</t>
  </si>
  <si>
    <t>Acronym</t>
  </si>
  <si>
    <t>Course Title</t>
  </si>
  <si>
    <t>Credit</t>
  </si>
  <si>
    <t>Sessions</t>
  </si>
  <si>
    <t>Hrs.</t>
  </si>
  <si>
    <t>Faculty</t>
  </si>
  <si>
    <t>IILM University, Greater Noida</t>
  </si>
  <si>
    <t>Actu.</t>
  </si>
  <si>
    <t>Diff.</t>
  </si>
  <si>
    <t>Days</t>
  </si>
  <si>
    <t>Mon</t>
  </si>
  <si>
    <t>Tue</t>
  </si>
  <si>
    <t>Wed</t>
  </si>
  <si>
    <t>Thu</t>
  </si>
  <si>
    <t>Fri</t>
  </si>
  <si>
    <t>Sat</t>
  </si>
  <si>
    <t>Sun</t>
  </si>
  <si>
    <t>DSMM</t>
  </si>
  <si>
    <t>Dr. Rohit Yadav</t>
  </si>
  <si>
    <t>DDM</t>
  </si>
  <si>
    <t>SHRM</t>
  </si>
  <si>
    <t>Dr. Pratigya Kwatra</t>
  </si>
  <si>
    <t>Total</t>
  </si>
  <si>
    <t>DA</t>
  </si>
  <si>
    <t>Independence Day</t>
  </si>
  <si>
    <t>Fintech</t>
  </si>
  <si>
    <t>SUMMER INTERNSHIP</t>
  </si>
  <si>
    <t>Corporate Readiness Program-3</t>
  </si>
  <si>
    <t>Data Visualisation and Business Storytelling</t>
  </si>
  <si>
    <t>SQL and Data Management</t>
  </si>
  <si>
    <t>AI in Marketing and Customer Analytics</t>
  </si>
  <si>
    <t>Generative AI and Prompt Engineering</t>
  </si>
  <si>
    <t>AI for Managers</t>
  </si>
  <si>
    <t>Cross Functional Business Strategy – Boardroom simulation</t>
  </si>
  <si>
    <t>Data Analytics (with Capstone project)</t>
  </si>
  <si>
    <t>MFS</t>
  </si>
  <si>
    <t>Certification - MT only</t>
  </si>
  <si>
    <t>Responsible AI and Ethics</t>
  </si>
  <si>
    <t>AI for Business Decicions</t>
  </si>
  <si>
    <t>Business Data Analytics with Python</t>
  </si>
  <si>
    <t>Big Data Tools and Applications</t>
  </si>
  <si>
    <t>Cyberpolicy and Governance for Business Leaders</t>
  </si>
  <si>
    <t>Incident Response and Disaster Recovery</t>
  </si>
  <si>
    <t>Ethical Hacking and Penetration Testing</t>
  </si>
  <si>
    <t>Business Policy and Strategy</t>
  </si>
  <si>
    <t>Product Management</t>
  </si>
  <si>
    <t>ESG &amp; Sustainability</t>
  </si>
  <si>
    <t>Summer Internship or Incubator Immersion</t>
  </si>
  <si>
    <t>MT</t>
  </si>
  <si>
    <t>Mr. Kishan Nigam</t>
  </si>
  <si>
    <t>Dr. Chandra Pal</t>
  </si>
  <si>
    <t>Dr. Abhishek Sharma</t>
  </si>
  <si>
    <t>Caprisage</t>
  </si>
  <si>
    <t>TransOrg</t>
  </si>
  <si>
    <t>Dr. Lalit Kumar</t>
  </si>
  <si>
    <t>Ms Arti Mittal</t>
  </si>
  <si>
    <t>Dr. Yogesh Kumar Jain</t>
  </si>
  <si>
    <t>Mr. Arun Kumar Mathur</t>
  </si>
  <si>
    <t>Mr. Sumit Arora</t>
  </si>
  <si>
    <t>Dr. Pallavi Seth</t>
  </si>
  <si>
    <t>Dr. Pooja Sharma</t>
  </si>
  <si>
    <t>Dr. Shweta Tiwari</t>
  </si>
  <si>
    <t>Dr. Subhamay Chatterjee</t>
  </si>
  <si>
    <t>Dr. Sandeep Kumar</t>
  </si>
  <si>
    <t>Dr. Gautam Srivastava</t>
  </si>
  <si>
    <t>Dr. Mohd. Danish Kirmani</t>
  </si>
  <si>
    <t>Dr. Ankita Sharma</t>
  </si>
  <si>
    <t>Mr. Dheeraj Narang</t>
  </si>
  <si>
    <t>Dr. Radha Mohan Gupta</t>
  </si>
  <si>
    <t>Dr. Shipra Pandey</t>
  </si>
  <si>
    <t>KPMG</t>
  </si>
  <si>
    <t>Ms Arushi</t>
  </si>
  <si>
    <t>Ms. Sneha Choubey</t>
  </si>
  <si>
    <t>Ms Deepanshi</t>
  </si>
  <si>
    <t>AIM</t>
  </si>
  <si>
    <t>CFBSB</t>
  </si>
  <si>
    <t>FSA</t>
  </si>
  <si>
    <t>IB</t>
  </si>
  <si>
    <t>BM</t>
  </si>
  <si>
    <t>WM</t>
  </si>
  <si>
    <t>CC</t>
  </si>
  <si>
    <t>SEP</t>
  </si>
  <si>
    <t>CRP</t>
  </si>
  <si>
    <t>PRM</t>
  </si>
  <si>
    <t>BI</t>
  </si>
  <si>
    <t>BDA</t>
  </si>
  <si>
    <t>SMCA</t>
  </si>
  <si>
    <t>SDM</t>
  </si>
  <si>
    <t>CB</t>
  </si>
  <si>
    <t>PBM</t>
  </si>
  <si>
    <t>BIL</t>
  </si>
  <si>
    <t>EI</t>
  </si>
  <si>
    <t>SMM</t>
  </si>
  <si>
    <t>LM</t>
  </si>
  <si>
    <t>PM</t>
  </si>
  <si>
    <t>OMA</t>
  </si>
  <si>
    <t>SCM</t>
  </si>
  <si>
    <t>RAIE</t>
  </si>
  <si>
    <t>AIBD</t>
  </si>
  <si>
    <t>BDAP</t>
  </si>
  <si>
    <t>BDTA</t>
  </si>
  <si>
    <t>CGBL</t>
  </si>
  <si>
    <t>IRDR</t>
  </si>
  <si>
    <t>EHPT</t>
  </si>
  <si>
    <t>BPS</t>
  </si>
  <si>
    <t>HRA</t>
  </si>
  <si>
    <t>DV</t>
  </si>
  <si>
    <t>GAI</t>
  </si>
  <si>
    <t>TAX</t>
  </si>
  <si>
    <t>SQL</t>
  </si>
  <si>
    <t>B2B</t>
  </si>
  <si>
    <t>SAPM</t>
  </si>
  <si>
    <t>CE</t>
  </si>
  <si>
    <t>FINTECH</t>
  </si>
  <si>
    <t>LTAI</t>
  </si>
  <si>
    <t>DBCS</t>
  </si>
  <si>
    <t>GTAI</t>
  </si>
  <si>
    <t>AIMC</t>
  </si>
  <si>
    <t>SCD</t>
  </si>
  <si>
    <t>SOME</t>
  </si>
  <si>
    <t>ESG</t>
  </si>
  <si>
    <t>Mr. Furkan Khan</t>
  </si>
  <si>
    <t>Dr Shweta Agarwal</t>
  </si>
  <si>
    <t>Dr. Saptarishi Majumdar</t>
  </si>
  <si>
    <t>Mr. Sushant Saklani</t>
  </si>
  <si>
    <t>CRP3</t>
  </si>
  <si>
    <t>Dr. Moid</t>
  </si>
  <si>
    <t>Taxation - 70</t>
  </si>
  <si>
    <t>Security analysis and portfolio management - 57</t>
  </si>
  <si>
    <t>Financial Statement Analysis - 99</t>
  </si>
  <si>
    <t>Investment Banking - 96</t>
  </si>
  <si>
    <t>Bank Management - 21</t>
  </si>
  <si>
    <t>Wealth Management - 23</t>
  </si>
  <si>
    <t>Certification - Financial Modelling and Corporate Valuation(KPMG) - 99</t>
  </si>
  <si>
    <t>Fintech - 71</t>
  </si>
  <si>
    <t>Law and Technology in age of AI - 43</t>
  </si>
  <si>
    <t>Crisis Communication - 31</t>
  </si>
  <si>
    <t>Social Entrepreneurship as Practice - 19</t>
  </si>
  <si>
    <t>Designing Behaviour Change for Social Impact - 15</t>
  </si>
  <si>
    <t>Global Talent Acquistion and AI - 59</t>
  </si>
  <si>
    <t>Performance and Reward Management - 28</t>
  </si>
  <si>
    <t>Strategic HRM - 52</t>
  </si>
  <si>
    <t>HR Analytics Certification - 52</t>
  </si>
  <si>
    <t>Business Intelligence - 54</t>
  </si>
  <si>
    <t>Big Data Analytics - 17</t>
  </si>
  <si>
    <t>Data Visualisation and Business Storytelling - 43</t>
  </si>
  <si>
    <t>SQL and Data Management - 50</t>
  </si>
  <si>
    <t>Social Media &amp; Cognitive Analytics - 13</t>
  </si>
  <si>
    <t>AI in Marketing and Customer Analytics - 34</t>
  </si>
  <si>
    <t>Generative AI and Prompt Engineering - 48</t>
  </si>
  <si>
    <t>Sales &amp; Dstribution Management - 47</t>
  </si>
  <si>
    <t>B2B Marketing - 66</t>
  </si>
  <si>
    <t>Digital &amp; Social Media Marketing - 134</t>
  </si>
  <si>
    <t>Consumer Behaviour - 94</t>
  </si>
  <si>
    <t>Product and Brand Management - 169</t>
  </si>
  <si>
    <t>Data Driven Marketing - 87</t>
  </si>
  <si>
    <t>The Science of Consumer Decisions - 141</t>
  </si>
  <si>
    <t>Bankruptcy and Insolvency Laws - 36</t>
  </si>
  <si>
    <t>Emotional Intelligence - 61</t>
  </si>
  <si>
    <t>Stress Management &amp; Mindfulness - 35</t>
  </si>
  <si>
    <t>Logistics Management - 20</t>
  </si>
  <si>
    <t>Project Management - 44</t>
  </si>
  <si>
    <t>Operations Management Analytics - 26</t>
  </si>
  <si>
    <t>Supply Chain Management - 46</t>
  </si>
  <si>
    <t>Service Operations Management &amp; E-Commerce - 21</t>
  </si>
  <si>
    <t>KPMG Certification: Lean Six Sigma - 11</t>
  </si>
  <si>
    <t>OMA/TAX/SHRM</t>
  </si>
  <si>
    <t>Corporate Valuation - 46</t>
  </si>
  <si>
    <t>CV</t>
  </si>
  <si>
    <t>BM/GTAI/SCM</t>
  </si>
  <si>
    <t>CM</t>
  </si>
  <si>
    <t>Compensation Management - 19</t>
  </si>
  <si>
    <t>FSA/CM/SOME</t>
  </si>
  <si>
    <t>Dr. Mehdi</t>
  </si>
  <si>
    <t>BM/OMA/GTAI</t>
  </si>
  <si>
    <t>FSA/CM/PM</t>
  </si>
  <si>
    <t>Dr. Pratigya Kwatra/ Dr Abhishek</t>
  </si>
  <si>
    <t>Prof. Saptrishi</t>
  </si>
  <si>
    <t>SCM/TAX/GTAI</t>
  </si>
  <si>
    <t xml:space="preserve"> </t>
  </si>
  <si>
    <t>Dr. Archana</t>
  </si>
  <si>
    <t>WM/PRM/SOME</t>
  </si>
  <si>
    <t>LM/IB/SHRM</t>
  </si>
  <si>
    <t>IB/PRM/LM</t>
  </si>
  <si>
    <t>Board Infinity</t>
  </si>
  <si>
    <t>MBA (2025-27), Semester - III (Section-A), Room No: -302/ 303/ Seminar hall</t>
  </si>
  <si>
    <t>MBA (2025-27), Semester - III (Section-B), Room No: -302/ 303/ Seminar hall</t>
  </si>
  <si>
    <t>MBA (2025-27), Semester - III (Section-C), Room No: -302/ 303/ Seminar hall</t>
  </si>
  <si>
    <t>MBA (2025-27), Semester - III (Section-D), Room No: -302/ 303/ Seminar hall</t>
  </si>
  <si>
    <t>MBA (2025-27), Semester - III (Section-E), Room No: -302/ 303/ Seminar hall</t>
  </si>
  <si>
    <t>MBA (2025-27), Semester - III (Section-F), Room No: -302/ 303/ Seminar hall</t>
  </si>
  <si>
    <t>Dr. Sundarapandiyan Suruli</t>
  </si>
  <si>
    <t>Dr. Anmol</t>
  </si>
  <si>
    <t>FSA/SOME</t>
  </si>
  <si>
    <t>WM/CM</t>
  </si>
  <si>
    <t>Marketing for Financial Products &amp; Services - 28</t>
  </si>
  <si>
    <t>MFPS</t>
  </si>
  <si>
    <t>Fin</t>
  </si>
  <si>
    <t>OMA/FSA/SHRM</t>
  </si>
  <si>
    <t>SCM/IB/GTAI</t>
  </si>
  <si>
    <t>TAX/SOME</t>
  </si>
  <si>
    <t>TAX/PRM/LM</t>
  </si>
  <si>
    <t>Prof. Sumit Arora</t>
  </si>
  <si>
    <t>RAIE/EHPT</t>
  </si>
  <si>
    <t>CGBL/EHPT</t>
  </si>
  <si>
    <t>MBA - MT (2025-27), Semester - III , Room : VOICE Lab</t>
  </si>
  <si>
    <t>With MBA II Sem in room no 302.</t>
  </si>
  <si>
    <t>B2B, CB, WM &amp; PBM in 302. CM in 303.</t>
  </si>
  <si>
    <t>FSA, IB in 103. WM in 205.</t>
  </si>
  <si>
    <t>FSA, IB in 103. WM &amp; AIM in 205.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</si>
</sst>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&quot;Times New Roman&quot;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BC2E6"/>
      </patternFill>
    </fill>
    <fill>
      <patternFill patternType="solid">
        <fgColor theme="0"/>
        <bgColor rgb="FFFCE5CD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9C9C9"/>
      </patternFill>
    </fill>
    <fill>
      <patternFill patternType="solid">
        <fgColor theme="0"/>
        <bgColor rgb="FFCAED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AE9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AEDFB"/>
      </patternFill>
    </fill>
    <fill>
      <patternFill patternType="solid">
        <fgColor rgb="FFFFC000"/>
        <bgColor rgb="FFCAEDFB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CE5CD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top"/>
    </xf>
    <xf numFmtId="0" fontId="13" fillId="2" borderId="5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7" fillId="8" borderId="5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0" fontId="17" fillId="8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4" fillId="8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left" vertical="center"/>
    </xf>
    <xf numFmtId="0" fontId="17" fillId="10" borderId="6" xfId="0" applyFont="1" applyFill="1" applyBorder="1" applyAlignment="1">
      <alignment horizontal="left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/>
    <xf numFmtId="0" fontId="8" fillId="2" borderId="4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left" vertical="center"/>
    </xf>
    <xf numFmtId="0" fontId="17" fillId="8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left" vertical="center"/>
    </xf>
    <xf numFmtId="0" fontId="14" fillId="8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8" fillId="13" borderId="5" xfId="0" applyFont="1" applyFill="1" applyBorder="1" applyAlignment="1">
      <alignment horizontal="left" vertical="center"/>
    </xf>
    <xf numFmtId="0" fontId="17" fillId="13" borderId="5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14" borderId="0" xfId="0" applyFill="1"/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BBA 3rd Semester-style" pivot="0" count="3" xr9:uid="{84421593-102D-46E4-B25E-D8D48B48ED59}">
      <tableStyleElement type="headerRow" dxfId="22"/>
      <tableStyleElement type="firstRowStripe" dxfId="21"/>
      <tableStyleElement type="secondRowStripe" dxfId="20"/>
    </tableStyle>
    <tableStyle name="BBA 5th Semester-style" pivot="0" count="3" xr9:uid="{6565FF10-31B7-4D05-85BA-FA8840551C0B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D44127B-B54E-4647-AE1A-EFBC98324034}">
  <we:reference id="wa200005271" version="1.1.0.0" store="en-US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D63785D-9BF6-41E6-B1A6-C199F5AE714A}">
  <we:reference id="wa200005502" version="1.0.0.11" store="en-U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FD21D4F-B9C8-4E4A-8927-244ACA5947AF}">
  <we:reference id="wa200007447" version="1.1.6.6" store="en-US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010F-75F4-46EE-86CB-254A475E7E4F}">
  <dimension ref="A1:R69"/>
  <sheetViews>
    <sheetView tabSelected="1"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9" sqref="G29"/>
    </sheetView>
  </sheetViews>
  <sheetFormatPr defaultRowHeight="15"/>
  <cols>
    <col min="1" max="1" width="10.85546875" style="1" bestFit="1" customWidth="1"/>
    <col min="2" max="2" width="10.85546875" style="5" customWidth="1"/>
    <col min="3" max="3" width="7.85546875" style="5" customWidth="1"/>
    <col min="4" max="4" width="11.7109375" style="1" bestFit="1" customWidth="1"/>
    <col min="5" max="7" width="11.85546875" style="1" bestFit="1" customWidth="1"/>
    <col min="8" max="9" width="12.5703125" style="1" bestFit="1" customWidth="1"/>
    <col min="10" max="10" width="11.85546875" style="1" bestFit="1" customWidth="1"/>
    <col min="11" max="11" width="37" style="5" bestFit="1" customWidth="1"/>
    <col min="12" max="12" width="12.5703125" style="49" bestFit="1" customWidth="1"/>
    <col min="13" max="13" width="7.5703125" style="49" customWidth="1"/>
    <col min="14" max="14" width="54.140625" style="50" customWidth="1"/>
    <col min="15" max="15" width="10.42578125" style="51" bestFit="1" customWidth="1"/>
    <col min="16" max="16" width="12" style="51" bestFit="1" customWidth="1"/>
    <col min="17" max="17" width="8.5703125" style="51" bestFit="1" customWidth="1"/>
    <col min="18" max="18" width="21.85546875" style="50" bestFit="1" customWidth="1"/>
    <col min="19" max="16384" width="9.140625" style="2"/>
  </cols>
  <sheetData>
    <row r="1" spans="1:18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  <c r="K1" s="5" t="s">
        <v>188</v>
      </c>
      <c r="L1" s="49" t="s">
        <v>188</v>
      </c>
      <c r="M1" s="49" t="s">
        <v>188</v>
      </c>
      <c r="N1" s="50" t="s">
        <v>188</v>
      </c>
      <c r="O1" s="51" t="s">
        <v>188</v>
      </c>
      <c r="P1" s="51" t="s">
        <v>188</v>
      </c>
    </row>
    <row r="2" spans="1:18" ht="15" customHeight="1">
      <c r="A2" s="95" t="s">
        <v>194</v>
      </c>
      <c r="B2" s="95"/>
      <c r="C2" s="95"/>
      <c r="D2" s="95"/>
      <c r="E2" s="95"/>
      <c r="F2" s="95"/>
      <c r="G2" s="95"/>
      <c r="H2" s="95"/>
      <c r="I2" s="95"/>
      <c r="J2" s="95"/>
      <c r="L2" s="53"/>
      <c r="M2" s="53"/>
      <c r="N2" s="53"/>
      <c r="O2" s="77"/>
      <c r="P2" s="77"/>
      <c r="Q2" s="77"/>
      <c r="R2" s="53"/>
    </row>
    <row r="3" spans="1:18" s="1" customFormat="1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L3" s="33" t="s">
        <v>9</v>
      </c>
      <c r="M3" s="33"/>
      <c r="N3" s="54" t="s">
        <v>10</v>
      </c>
      <c r="O3" s="54" t="s">
        <v>11</v>
      </c>
      <c r="P3" s="54" t="s">
        <v>12</v>
      </c>
      <c r="Q3" s="54" t="s">
        <v>13</v>
      </c>
      <c r="R3" s="54" t="s">
        <v>14</v>
      </c>
    </row>
    <row r="4" spans="1:18">
      <c r="A4" s="24">
        <v>46237</v>
      </c>
      <c r="B4" s="4" t="s">
        <v>19</v>
      </c>
      <c r="C4" s="7">
        <v>1</v>
      </c>
      <c r="D4" s="61" t="s">
        <v>96</v>
      </c>
      <c r="E4" s="16" t="s">
        <v>119</v>
      </c>
      <c r="F4" s="4" t="s">
        <v>97</v>
      </c>
      <c r="G4" s="18"/>
      <c r="H4" s="15" t="s">
        <v>88</v>
      </c>
      <c r="I4" s="16" t="s">
        <v>98</v>
      </c>
      <c r="J4" s="61" t="s">
        <v>94</v>
      </c>
      <c r="L4" s="19" t="s">
        <v>83</v>
      </c>
      <c r="M4" s="19"/>
      <c r="N4" s="36" t="s">
        <v>41</v>
      </c>
      <c r="O4" s="39">
        <v>2</v>
      </c>
      <c r="P4" s="55">
        <f t="shared" ref="P4:P15" si="0">Q4/1.25</f>
        <v>24</v>
      </c>
      <c r="Q4" s="55">
        <f t="shared" ref="Q4:Q15" si="1">O4*15</f>
        <v>30</v>
      </c>
      <c r="R4" s="37" t="s">
        <v>60</v>
      </c>
    </row>
    <row r="5" spans="1:18" ht="25.5">
      <c r="A5" s="24">
        <v>46238</v>
      </c>
      <c r="B5" s="4" t="s">
        <v>20</v>
      </c>
      <c r="C5" s="7">
        <f>C4+1</f>
        <v>2</v>
      </c>
      <c r="D5" s="61" t="s">
        <v>28</v>
      </c>
      <c r="E5" s="16" t="s">
        <v>175</v>
      </c>
      <c r="F5" s="16" t="s">
        <v>187</v>
      </c>
      <c r="G5" s="18"/>
      <c r="H5" s="16" t="s">
        <v>190</v>
      </c>
      <c r="I5" s="16" t="s">
        <v>83</v>
      </c>
      <c r="J5" s="61" t="s">
        <v>93</v>
      </c>
      <c r="L5" s="20" t="s">
        <v>84</v>
      </c>
      <c r="M5" s="20"/>
      <c r="N5" s="36" t="s">
        <v>42</v>
      </c>
      <c r="O5" s="39">
        <v>2</v>
      </c>
      <c r="P5" s="55">
        <f t="shared" si="0"/>
        <v>24</v>
      </c>
      <c r="Q5" s="55">
        <f t="shared" si="1"/>
        <v>30</v>
      </c>
      <c r="R5" s="37"/>
    </row>
    <row r="6" spans="1:18" ht="25.5">
      <c r="A6" s="24">
        <v>46239</v>
      </c>
      <c r="B6" s="4" t="s">
        <v>21</v>
      </c>
      <c r="C6" s="7">
        <f t="shared" ref="C6:C9" si="2">C5+1</f>
        <v>3</v>
      </c>
      <c r="D6" s="17" t="s">
        <v>126</v>
      </c>
      <c r="E6" s="4" t="s">
        <v>95</v>
      </c>
      <c r="F6" s="17" t="s">
        <v>178</v>
      </c>
      <c r="G6" s="18"/>
      <c r="H6" s="16" t="s">
        <v>191</v>
      </c>
      <c r="I6" s="16" t="s">
        <v>184</v>
      </c>
      <c r="J6" s="61" t="s">
        <v>118</v>
      </c>
      <c r="L6" s="20" t="s">
        <v>32</v>
      </c>
      <c r="M6" s="20"/>
      <c r="N6" s="36" t="s">
        <v>43</v>
      </c>
      <c r="O6" s="39">
        <v>2</v>
      </c>
      <c r="P6" s="55">
        <f t="shared" si="0"/>
        <v>24</v>
      </c>
      <c r="Q6" s="55">
        <f t="shared" si="1"/>
        <v>30</v>
      </c>
      <c r="R6" s="37" t="s">
        <v>62</v>
      </c>
    </row>
    <row r="7" spans="1:18" ht="25.5">
      <c r="A7" s="24">
        <v>46240</v>
      </c>
      <c r="B7" s="4" t="s">
        <v>22</v>
      </c>
      <c r="C7" s="7">
        <f t="shared" si="2"/>
        <v>4</v>
      </c>
      <c r="D7" s="4" t="s">
        <v>116</v>
      </c>
      <c r="E7" s="17" t="s">
        <v>183</v>
      </c>
      <c r="F7" s="16" t="s">
        <v>26</v>
      </c>
      <c r="G7" s="18"/>
      <c r="H7" s="16" t="s">
        <v>181</v>
      </c>
      <c r="I7" s="16" t="s">
        <v>192</v>
      </c>
      <c r="J7" s="61" t="s">
        <v>120</v>
      </c>
      <c r="L7" s="20" t="s">
        <v>129</v>
      </c>
      <c r="M7" s="20"/>
      <c r="N7" s="38" t="s">
        <v>55</v>
      </c>
      <c r="O7" s="78">
        <v>1</v>
      </c>
      <c r="P7" s="55">
        <f t="shared" si="0"/>
        <v>12</v>
      </c>
      <c r="Q7" s="55">
        <f t="shared" si="1"/>
        <v>15</v>
      </c>
      <c r="R7" s="37"/>
    </row>
    <row r="8" spans="1:18">
      <c r="A8" s="24">
        <v>46241</v>
      </c>
      <c r="B8" s="4" t="s">
        <v>23</v>
      </c>
      <c r="C8" s="7">
        <f t="shared" si="2"/>
        <v>5</v>
      </c>
      <c r="D8" s="73" t="s">
        <v>134</v>
      </c>
      <c r="E8" s="73" t="s">
        <v>134</v>
      </c>
      <c r="F8" s="73" t="s">
        <v>134</v>
      </c>
      <c r="G8" s="18"/>
      <c r="H8" s="73" t="s">
        <v>134</v>
      </c>
      <c r="I8" s="73" t="s">
        <v>134</v>
      </c>
      <c r="J8" s="73" t="s">
        <v>134</v>
      </c>
      <c r="L8" s="20" t="s">
        <v>117</v>
      </c>
      <c r="M8" s="20"/>
      <c r="N8" s="36" t="s">
        <v>136</v>
      </c>
      <c r="O8" s="39">
        <v>2</v>
      </c>
      <c r="P8" s="55">
        <f t="shared" si="0"/>
        <v>24</v>
      </c>
      <c r="Q8" s="55">
        <f t="shared" si="1"/>
        <v>30</v>
      </c>
      <c r="R8" s="37" t="s">
        <v>79</v>
      </c>
    </row>
    <row r="9" spans="1:18">
      <c r="A9" s="24">
        <v>46242</v>
      </c>
      <c r="B9" s="4" t="s">
        <v>24</v>
      </c>
      <c r="C9" s="7">
        <f t="shared" si="2"/>
        <v>6</v>
      </c>
      <c r="D9" s="73" t="s">
        <v>32</v>
      </c>
      <c r="E9" s="73" t="s">
        <v>32</v>
      </c>
      <c r="F9" s="73"/>
      <c r="G9" s="18"/>
      <c r="H9" s="73"/>
      <c r="I9" s="73"/>
      <c r="J9" s="73"/>
      <c r="L9" s="19" t="s">
        <v>120</v>
      </c>
      <c r="M9" s="19"/>
      <c r="N9" s="36" t="s">
        <v>137</v>
      </c>
      <c r="O9" s="39">
        <v>2</v>
      </c>
      <c r="P9" s="55">
        <f t="shared" si="0"/>
        <v>24</v>
      </c>
      <c r="Q9" s="55">
        <f t="shared" si="1"/>
        <v>30</v>
      </c>
      <c r="R9" s="76" t="s">
        <v>68</v>
      </c>
    </row>
    <row r="10" spans="1:18">
      <c r="A10" s="24">
        <v>46243</v>
      </c>
      <c r="B10" s="4" t="s">
        <v>25</v>
      </c>
      <c r="C10" s="7"/>
      <c r="D10" s="21"/>
      <c r="E10" s="21"/>
      <c r="F10" s="22"/>
      <c r="G10" s="18"/>
      <c r="H10" s="22"/>
      <c r="I10" s="21"/>
      <c r="J10" s="75"/>
      <c r="L10" s="19" t="s">
        <v>85</v>
      </c>
      <c r="M10" s="19"/>
      <c r="N10" s="36" t="s">
        <v>138</v>
      </c>
      <c r="O10" s="39">
        <v>2</v>
      </c>
      <c r="P10" s="55">
        <f t="shared" si="0"/>
        <v>24</v>
      </c>
      <c r="Q10" s="55">
        <f t="shared" si="1"/>
        <v>30</v>
      </c>
      <c r="R10" s="76" t="s">
        <v>65</v>
      </c>
    </row>
    <row r="11" spans="1:18">
      <c r="A11" s="24">
        <v>46244</v>
      </c>
      <c r="B11" s="4" t="s">
        <v>19</v>
      </c>
      <c r="C11" s="7">
        <f>C9+1</f>
        <v>7</v>
      </c>
      <c r="D11" s="61" t="s">
        <v>96</v>
      </c>
      <c r="E11" s="16" t="s">
        <v>119</v>
      </c>
      <c r="F11" s="4" t="s">
        <v>97</v>
      </c>
      <c r="G11" s="18"/>
      <c r="H11" s="15" t="s">
        <v>203</v>
      </c>
      <c r="I11" s="16" t="s">
        <v>98</v>
      </c>
      <c r="J11" s="61" t="s">
        <v>94</v>
      </c>
      <c r="L11" s="19" t="s">
        <v>86</v>
      </c>
      <c r="M11" s="19"/>
      <c r="N11" s="36" t="s">
        <v>139</v>
      </c>
      <c r="O11" s="39">
        <v>2</v>
      </c>
      <c r="P11" s="55">
        <f t="shared" si="0"/>
        <v>24</v>
      </c>
      <c r="Q11" s="55">
        <f t="shared" si="1"/>
        <v>30</v>
      </c>
      <c r="R11" s="76" t="s">
        <v>58</v>
      </c>
    </row>
    <row r="12" spans="1:18" ht="25.5">
      <c r="A12" s="24">
        <v>46245</v>
      </c>
      <c r="B12" s="4" t="s">
        <v>20</v>
      </c>
      <c r="C12" s="7">
        <f>C11+1</f>
        <v>8</v>
      </c>
      <c r="D12" s="61" t="s">
        <v>28</v>
      </c>
      <c r="E12" s="16" t="s">
        <v>207</v>
      </c>
      <c r="F12" s="16" t="s">
        <v>208</v>
      </c>
      <c r="G12" s="18"/>
      <c r="H12" s="16" t="s">
        <v>190</v>
      </c>
      <c r="I12" s="16"/>
      <c r="J12" s="61" t="s">
        <v>93</v>
      </c>
      <c r="L12" s="32" t="s">
        <v>87</v>
      </c>
      <c r="M12" s="32"/>
      <c r="N12" s="62" t="s">
        <v>140</v>
      </c>
      <c r="O12" s="63">
        <v>2</v>
      </c>
      <c r="P12" s="57">
        <f t="shared" si="0"/>
        <v>24</v>
      </c>
      <c r="Q12" s="57">
        <f t="shared" si="1"/>
        <v>30</v>
      </c>
      <c r="R12" s="76" t="s">
        <v>67</v>
      </c>
    </row>
    <row r="13" spans="1:18" ht="25.5">
      <c r="A13" s="24">
        <v>46246</v>
      </c>
      <c r="B13" s="4" t="s">
        <v>21</v>
      </c>
      <c r="C13" s="7">
        <f t="shared" ref="C13:C15" si="3">C12+1</f>
        <v>9</v>
      </c>
      <c r="D13" s="17" t="s">
        <v>126</v>
      </c>
      <c r="E13" s="4" t="s">
        <v>95</v>
      </c>
      <c r="F13" s="17" t="s">
        <v>178</v>
      </c>
      <c r="G13" s="18"/>
      <c r="H13" s="16" t="s">
        <v>191</v>
      </c>
      <c r="I13" s="16" t="s">
        <v>184</v>
      </c>
      <c r="J13" s="61" t="s">
        <v>118</v>
      </c>
      <c r="L13" s="19" t="s">
        <v>88</v>
      </c>
      <c r="M13" s="19"/>
      <c r="N13" s="37" t="s">
        <v>141</v>
      </c>
      <c r="O13" s="70">
        <v>2</v>
      </c>
      <c r="P13" s="55">
        <f t="shared" si="0"/>
        <v>24</v>
      </c>
      <c r="Q13" s="55">
        <f t="shared" si="1"/>
        <v>30</v>
      </c>
      <c r="R13" s="76" t="s">
        <v>66</v>
      </c>
    </row>
    <row r="14" spans="1:18" ht="25.5">
      <c r="A14" s="24">
        <v>46247</v>
      </c>
      <c r="B14" s="4" t="s">
        <v>22</v>
      </c>
      <c r="C14" s="7">
        <f t="shared" si="3"/>
        <v>10</v>
      </c>
      <c r="D14" s="4" t="s">
        <v>116</v>
      </c>
      <c r="E14" s="17" t="s">
        <v>183</v>
      </c>
      <c r="F14" s="16" t="s">
        <v>26</v>
      </c>
      <c r="G14" s="18"/>
      <c r="H14" s="16" t="s">
        <v>181</v>
      </c>
      <c r="I14" s="16" t="s">
        <v>192</v>
      </c>
      <c r="J14" s="61" t="s">
        <v>120</v>
      </c>
      <c r="L14" s="19" t="s">
        <v>121</v>
      </c>
      <c r="M14" s="19"/>
      <c r="N14" s="37" t="s">
        <v>142</v>
      </c>
      <c r="O14" s="70">
        <v>2</v>
      </c>
      <c r="P14" s="55">
        <f t="shared" si="0"/>
        <v>24</v>
      </c>
      <c r="Q14" s="55">
        <f t="shared" si="1"/>
        <v>30</v>
      </c>
      <c r="R14" s="76"/>
    </row>
    <row r="15" spans="1:18">
      <c r="A15" s="24">
        <v>46248</v>
      </c>
      <c r="B15" s="4" t="s">
        <v>23</v>
      </c>
      <c r="C15" s="7">
        <f t="shared" si="3"/>
        <v>11</v>
      </c>
      <c r="D15" s="73" t="s">
        <v>34</v>
      </c>
      <c r="E15" s="73" t="s">
        <v>34</v>
      </c>
      <c r="F15" s="73" t="s">
        <v>32</v>
      </c>
      <c r="G15" s="18"/>
      <c r="H15" s="73" t="s">
        <v>32</v>
      </c>
      <c r="I15" s="73"/>
      <c r="J15" s="73"/>
      <c r="L15" s="19" t="s">
        <v>206</v>
      </c>
      <c r="M15" s="19"/>
      <c r="N15" s="37" t="s">
        <v>143</v>
      </c>
      <c r="O15" s="70">
        <v>2</v>
      </c>
      <c r="P15" s="55">
        <f t="shared" si="0"/>
        <v>24</v>
      </c>
      <c r="Q15" s="55">
        <f t="shared" si="1"/>
        <v>30</v>
      </c>
      <c r="R15" s="76" t="s">
        <v>66</v>
      </c>
    </row>
    <row r="16" spans="1:18">
      <c r="A16" s="24">
        <v>46249</v>
      </c>
      <c r="B16" s="4" t="s">
        <v>24</v>
      </c>
      <c r="C16" s="40" t="s">
        <v>33</v>
      </c>
      <c r="D16" s="73"/>
      <c r="E16" s="73"/>
      <c r="F16" s="73"/>
      <c r="G16" s="18"/>
      <c r="H16" s="73"/>
      <c r="I16" s="73"/>
      <c r="J16" s="73"/>
      <c r="L16" s="19" t="s">
        <v>177</v>
      </c>
      <c r="M16" s="19"/>
      <c r="N16" s="71" t="s">
        <v>176</v>
      </c>
      <c r="O16" s="70">
        <v>3</v>
      </c>
      <c r="P16" s="55">
        <f t="shared" ref="P16" si="4">Q16/1.25</f>
        <v>36</v>
      </c>
      <c r="Q16" s="55">
        <f t="shared" ref="Q16" si="5">O16*15</f>
        <v>45</v>
      </c>
      <c r="R16" s="37" t="s">
        <v>79</v>
      </c>
    </row>
    <row r="17" spans="1:18">
      <c r="A17" s="24">
        <v>46250</v>
      </c>
      <c r="B17" s="4" t="s">
        <v>25</v>
      </c>
      <c r="C17" s="40"/>
      <c r="D17" s="21"/>
      <c r="E17" s="21"/>
      <c r="F17" s="22"/>
      <c r="G17" s="6"/>
      <c r="H17" s="22"/>
      <c r="I17" s="21"/>
      <c r="J17" s="75"/>
      <c r="L17" s="19"/>
      <c r="M17" s="19"/>
      <c r="N17" s="37" t="s">
        <v>35</v>
      </c>
      <c r="O17" s="70">
        <v>4</v>
      </c>
      <c r="P17" s="55">
        <f t="shared" ref="P17:P28" si="6">Q17/1.25</f>
        <v>48</v>
      </c>
      <c r="Q17" s="55">
        <f t="shared" ref="Q17:Q28" si="7">O17*15</f>
        <v>60</v>
      </c>
      <c r="R17" s="37"/>
    </row>
    <row r="18" spans="1:18">
      <c r="A18" s="24">
        <v>46251</v>
      </c>
      <c r="B18" s="4" t="s">
        <v>19</v>
      </c>
      <c r="C18" s="40">
        <f>C15+1</f>
        <v>12</v>
      </c>
      <c r="D18" s="61" t="s">
        <v>96</v>
      </c>
      <c r="E18" s="16" t="s">
        <v>119</v>
      </c>
      <c r="F18" s="4" t="s">
        <v>97</v>
      </c>
      <c r="G18" s="18"/>
      <c r="H18" s="15" t="s">
        <v>203</v>
      </c>
      <c r="I18" s="16" t="s">
        <v>98</v>
      </c>
      <c r="J18" s="61" t="s">
        <v>94</v>
      </c>
      <c r="K18" s="5" t="s">
        <v>216</v>
      </c>
      <c r="L18" s="19" t="s">
        <v>123</v>
      </c>
      <c r="M18" s="19"/>
      <c r="N18" s="37" t="s">
        <v>144</v>
      </c>
      <c r="O18" s="72">
        <v>2</v>
      </c>
      <c r="P18" s="55">
        <f t="shared" si="6"/>
        <v>24</v>
      </c>
      <c r="Q18" s="55">
        <f t="shared" si="7"/>
        <v>30</v>
      </c>
      <c r="R18" s="37"/>
    </row>
    <row r="19" spans="1:18" ht="25.5">
      <c r="A19" s="24">
        <v>46252</v>
      </c>
      <c r="B19" s="4" t="s">
        <v>20</v>
      </c>
      <c r="C19" s="40">
        <f>C18+1</f>
        <v>13</v>
      </c>
      <c r="D19" s="61" t="s">
        <v>28</v>
      </c>
      <c r="E19" s="16" t="s">
        <v>207</v>
      </c>
      <c r="F19" s="16" t="s">
        <v>208</v>
      </c>
      <c r="G19" s="18"/>
      <c r="H19" s="16" t="s">
        <v>190</v>
      </c>
      <c r="I19" s="16"/>
      <c r="J19" s="61" t="s">
        <v>93</v>
      </c>
      <c r="K19" s="5" t="s">
        <v>217</v>
      </c>
      <c r="L19" s="19" t="s">
        <v>89</v>
      </c>
      <c r="M19" s="19"/>
      <c r="N19" s="37" t="s">
        <v>145</v>
      </c>
      <c r="O19" s="72">
        <v>2</v>
      </c>
      <c r="P19" s="55">
        <f t="shared" si="6"/>
        <v>24</v>
      </c>
      <c r="Q19" s="55">
        <f t="shared" si="7"/>
        <v>30</v>
      </c>
      <c r="R19" s="37" t="s">
        <v>80</v>
      </c>
    </row>
    <row r="20" spans="1:18" ht="25.5">
      <c r="A20" s="24">
        <v>46253</v>
      </c>
      <c r="B20" s="4" t="s">
        <v>21</v>
      </c>
      <c r="C20" s="40">
        <f t="shared" ref="C20:C23" si="8">C19+1</f>
        <v>14</v>
      </c>
      <c r="D20" s="17" t="s">
        <v>126</v>
      </c>
      <c r="E20" s="4" t="s">
        <v>95</v>
      </c>
      <c r="F20" s="17" t="s">
        <v>178</v>
      </c>
      <c r="G20" s="18"/>
      <c r="H20" s="16" t="s">
        <v>191</v>
      </c>
      <c r="I20" s="16" t="s">
        <v>184</v>
      </c>
      <c r="J20" s="61" t="s">
        <v>118</v>
      </c>
      <c r="L20" s="64" t="s">
        <v>90</v>
      </c>
      <c r="M20" s="64"/>
      <c r="N20" s="65" t="s">
        <v>146</v>
      </c>
      <c r="O20" s="66">
        <v>2</v>
      </c>
      <c r="P20" s="67">
        <f t="shared" si="6"/>
        <v>24</v>
      </c>
      <c r="Q20" s="67">
        <f t="shared" si="7"/>
        <v>30</v>
      </c>
      <c r="R20" s="37" t="s">
        <v>30</v>
      </c>
    </row>
    <row r="21" spans="1:18" ht="25.5">
      <c r="A21" s="24">
        <v>46254</v>
      </c>
      <c r="B21" s="4" t="s">
        <v>22</v>
      </c>
      <c r="C21" s="40">
        <f t="shared" si="8"/>
        <v>15</v>
      </c>
      <c r="D21" s="4" t="s">
        <v>116</v>
      </c>
      <c r="E21" s="17" t="s">
        <v>183</v>
      </c>
      <c r="F21" s="16" t="s">
        <v>26</v>
      </c>
      <c r="G21" s="18"/>
      <c r="H21" s="16" t="s">
        <v>209</v>
      </c>
      <c r="I21" s="16" t="s">
        <v>210</v>
      </c>
      <c r="J21" s="61" t="s">
        <v>120</v>
      </c>
      <c r="L21" s="19" t="s">
        <v>124</v>
      </c>
      <c r="M21" s="19"/>
      <c r="N21" s="36" t="s">
        <v>147</v>
      </c>
      <c r="O21" s="41">
        <v>2</v>
      </c>
      <c r="P21" s="55">
        <f t="shared" si="6"/>
        <v>24</v>
      </c>
      <c r="Q21" s="55">
        <f t="shared" si="7"/>
        <v>30</v>
      </c>
      <c r="R21" s="37" t="s">
        <v>69</v>
      </c>
    </row>
    <row r="22" spans="1:18">
      <c r="A22" s="24">
        <v>46255</v>
      </c>
      <c r="B22" s="4" t="s">
        <v>23</v>
      </c>
      <c r="C22" s="40">
        <f t="shared" si="8"/>
        <v>16</v>
      </c>
      <c r="D22" s="73" t="s">
        <v>34</v>
      </c>
      <c r="E22" s="73" t="s">
        <v>34</v>
      </c>
      <c r="F22" s="73" t="s">
        <v>44</v>
      </c>
      <c r="G22" s="18"/>
      <c r="H22" s="73" t="s">
        <v>177</v>
      </c>
      <c r="I22" s="73" t="s">
        <v>177</v>
      </c>
      <c r="J22" s="73" t="s">
        <v>134</v>
      </c>
      <c r="L22" s="19" t="s">
        <v>91</v>
      </c>
      <c r="M22" s="19"/>
      <c r="N22" s="36" t="s">
        <v>36</v>
      </c>
      <c r="O22" s="39">
        <v>2</v>
      </c>
      <c r="P22" s="55">
        <f t="shared" si="6"/>
        <v>24</v>
      </c>
      <c r="Q22" s="55">
        <f t="shared" si="7"/>
        <v>30</v>
      </c>
      <c r="R22" s="56" t="s">
        <v>193</v>
      </c>
    </row>
    <row r="23" spans="1:18">
      <c r="A23" s="24">
        <v>46256</v>
      </c>
      <c r="B23" s="4" t="s">
        <v>24</v>
      </c>
      <c r="C23" s="40">
        <f t="shared" si="8"/>
        <v>17</v>
      </c>
      <c r="D23" s="73" t="s">
        <v>32</v>
      </c>
      <c r="E23" s="73" t="s">
        <v>32</v>
      </c>
      <c r="F23" s="73"/>
      <c r="G23" s="18"/>
      <c r="H23" s="73"/>
      <c r="I23" s="73"/>
      <c r="J23" s="73"/>
      <c r="L23" s="19" t="s">
        <v>125</v>
      </c>
      <c r="M23" s="19"/>
      <c r="N23" s="36" t="s">
        <v>148</v>
      </c>
      <c r="O23" s="39">
        <v>2</v>
      </c>
      <c r="P23" s="55">
        <f t="shared" si="6"/>
        <v>24</v>
      </c>
      <c r="Q23" s="55">
        <f t="shared" si="7"/>
        <v>30</v>
      </c>
      <c r="R23" s="37" t="s">
        <v>130</v>
      </c>
    </row>
    <row r="24" spans="1:18">
      <c r="A24" s="24">
        <v>46257</v>
      </c>
      <c r="B24" s="4" t="s">
        <v>25</v>
      </c>
      <c r="C24" s="40"/>
      <c r="D24" s="21"/>
      <c r="E24" s="21"/>
      <c r="F24" s="22"/>
      <c r="G24" s="6"/>
      <c r="H24" s="22"/>
      <c r="I24" s="21"/>
      <c r="J24" s="75"/>
      <c r="L24" s="32" t="s">
        <v>92</v>
      </c>
      <c r="M24" s="32"/>
      <c r="N24" s="62" t="s">
        <v>149</v>
      </c>
      <c r="O24" s="39">
        <v>2</v>
      </c>
      <c r="P24" s="55">
        <f t="shared" si="6"/>
        <v>24</v>
      </c>
      <c r="Q24" s="55">
        <f t="shared" si="7"/>
        <v>30</v>
      </c>
      <c r="R24" s="37" t="s">
        <v>70</v>
      </c>
    </row>
    <row r="25" spans="1:18">
      <c r="A25" s="5"/>
      <c r="D25" s="5"/>
      <c r="E25" s="5"/>
      <c r="F25" s="5"/>
      <c r="G25" s="5"/>
      <c r="H25" s="5"/>
      <c r="I25" s="5"/>
      <c r="J25" s="5"/>
      <c r="L25" s="19" t="s">
        <v>29</v>
      </c>
      <c r="M25" s="19"/>
      <c r="N25" s="37" t="s">
        <v>150</v>
      </c>
      <c r="O25" s="74">
        <v>2</v>
      </c>
      <c r="P25" s="55">
        <f t="shared" si="6"/>
        <v>24</v>
      </c>
      <c r="Q25" s="55">
        <f t="shared" si="7"/>
        <v>30</v>
      </c>
      <c r="R25" s="37" t="s">
        <v>71</v>
      </c>
    </row>
    <row r="26" spans="1:18">
      <c r="A26" s="5"/>
      <c r="D26" s="5"/>
      <c r="E26" s="5"/>
      <c r="F26" s="5"/>
      <c r="G26" s="5"/>
      <c r="H26" s="5"/>
      <c r="I26" s="5"/>
      <c r="J26" s="5"/>
      <c r="L26" s="19" t="s">
        <v>114</v>
      </c>
      <c r="M26" s="19"/>
      <c r="N26" s="37" t="s">
        <v>151</v>
      </c>
      <c r="O26" s="74">
        <v>2</v>
      </c>
      <c r="P26" s="55">
        <f t="shared" si="6"/>
        <v>24</v>
      </c>
      <c r="Q26" s="55">
        <f t="shared" si="7"/>
        <v>30</v>
      </c>
      <c r="R26" s="37" t="s">
        <v>130</v>
      </c>
    </row>
    <row r="27" spans="1:18">
      <c r="A27" s="5"/>
      <c r="D27" s="5"/>
      <c r="E27" s="5"/>
      <c r="F27" s="5"/>
      <c r="G27" s="5"/>
      <c r="H27" s="5"/>
      <c r="I27" s="5"/>
      <c r="J27" s="5"/>
      <c r="L27" s="19" t="s">
        <v>179</v>
      </c>
      <c r="M27" s="19"/>
      <c r="N27" s="71" t="s">
        <v>180</v>
      </c>
      <c r="O27" s="74">
        <v>2</v>
      </c>
      <c r="P27" s="55">
        <f t="shared" si="6"/>
        <v>24</v>
      </c>
      <c r="Q27" s="55">
        <f t="shared" si="7"/>
        <v>30</v>
      </c>
      <c r="R27" s="37" t="s">
        <v>201</v>
      </c>
    </row>
    <row r="28" spans="1:18">
      <c r="A28" s="5"/>
      <c r="D28" s="5"/>
      <c r="E28" s="5"/>
      <c r="F28" s="5"/>
      <c r="G28" s="5"/>
      <c r="H28" s="5"/>
      <c r="I28" s="5"/>
      <c r="J28" s="5"/>
      <c r="L28" s="19" t="s">
        <v>93</v>
      </c>
      <c r="M28" s="19"/>
      <c r="N28" s="37" t="s">
        <v>152</v>
      </c>
      <c r="O28" s="74">
        <v>2</v>
      </c>
      <c r="P28" s="55">
        <f t="shared" si="6"/>
        <v>24</v>
      </c>
      <c r="Q28" s="55">
        <f t="shared" si="7"/>
        <v>30</v>
      </c>
      <c r="R28" s="37" t="s">
        <v>72</v>
      </c>
    </row>
    <row r="29" spans="1:18">
      <c r="A29" s="5"/>
      <c r="D29" s="5"/>
      <c r="E29" s="5"/>
      <c r="F29" s="5"/>
      <c r="G29" s="5"/>
      <c r="H29" s="5"/>
      <c r="I29" s="5"/>
      <c r="J29" s="5"/>
      <c r="L29" s="19" t="s">
        <v>94</v>
      </c>
      <c r="M29" s="19"/>
      <c r="N29" s="37" t="s">
        <v>153</v>
      </c>
      <c r="O29" s="74">
        <v>2</v>
      </c>
      <c r="P29" s="55">
        <f t="shared" ref="P29:P40" si="9">Q29/1.25</f>
        <v>24</v>
      </c>
      <c r="Q29" s="55">
        <f t="shared" ref="Q29:Q40" si="10">O29*15</f>
        <v>30</v>
      </c>
      <c r="R29" s="37" t="s">
        <v>73</v>
      </c>
    </row>
    <row r="30" spans="1:18">
      <c r="A30" s="5"/>
      <c r="D30" s="5"/>
      <c r="E30" s="5"/>
      <c r="F30" s="5"/>
      <c r="G30" s="5"/>
      <c r="H30" s="5"/>
      <c r="I30" s="5"/>
      <c r="J30" s="5"/>
      <c r="L30" s="64" t="s">
        <v>115</v>
      </c>
      <c r="M30" s="64"/>
      <c r="N30" s="65" t="s">
        <v>154</v>
      </c>
      <c r="O30" s="39">
        <v>2</v>
      </c>
      <c r="P30" s="55">
        <f t="shared" si="9"/>
        <v>24</v>
      </c>
      <c r="Q30" s="55">
        <f t="shared" si="10"/>
        <v>30</v>
      </c>
      <c r="R30" s="37" t="s">
        <v>131</v>
      </c>
    </row>
    <row r="31" spans="1:18">
      <c r="A31" s="5"/>
      <c r="D31" s="5"/>
      <c r="E31" s="5"/>
      <c r="F31" s="5"/>
      <c r="G31" s="5"/>
      <c r="H31" s="5"/>
      <c r="I31" s="5"/>
      <c r="J31" s="5"/>
      <c r="L31" s="19" t="s">
        <v>118</v>
      </c>
      <c r="M31" s="19"/>
      <c r="N31" s="36" t="s">
        <v>155</v>
      </c>
      <c r="O31" s="39">
        <v>2</v>
      </c>
      <c r="P31" s="55">
        <f t="shared" si="9"/>
        <v>24</v>
      </c>
      <c r="Q31" s="55">
        <f t="shared" si="10"/>
        <v>30</v>
      </c>
      <c r="R31" s="37" t="s">
        <v>63</v>
      </c>
    </row>
    <row r="32" spans="1:18">
      <c r="A32" s="5"/>
      <c r="D32" s="5"/>
      <c r="E32" s="5"/>
      <c r="F32" s="5"/>
      <c r="G32" s="5"/>
      <c r="H32" s="5"/>
      <c r="I32" s="5"/>
      <c r="J32" s="5"/>
      <c r="L32" s="19" t="s">
        <v>95</v>
      </c>
      <c r="M32" s="19"/>
      <c r="N32" s="36" t="s">
        <v>156</v>
      </c>
      <c r="O32" s="39">
        <v>2</v>
      </c>
      <c r="P32" s="55">
        <f t="shared" si="9"/>
        <v>24</v>
      </c>
      <c r="Q32" s="55">
        <f t="shared" si="10"/>
        <v>30</v>
      </c>
      <c r="R32" s="76" t="s">
        <v>189</v>
      </c>
    </row>
    <row r="33" spans="1:18">
      <c r="A33" s="5"/>
      <c r="D33" s="5"/>
      <c r="E33" s="5"/>
      <c r="F33" s="5"/>
      <c r="G33" s="5"/>
      <c r="H33" s="5"/>
      <c r="I33" s="5"/>
      <c r="J33" s="5"/>
      <c r="L33" s="19" t="s">
        <v>126</v>
      </c>
      <c r="M33" s="19"/>
      <c r="N33" s="36" t="s">
        <v>157</v>
      </c>
      <c r="O33" s="39">
        <v>2</v>
      </c>
      <c r="P33" s="55">
        <f t="shared" si="9"/>
        <v>24</v>
      </c>
      <c r="Q33" s="55">
        <f t="shared" si="10"/>
        <v>30</v>
      </c>
      <c r="R33" s="37" t="s">
        <v>59</v>
      </c>
    </row>
    <row r="34" spans="1:18">
      <c r="A34" s="5"/>
      <c r="D34" s="5"/>
      <c r="E34" s="5"/>
      <c r="F34" s="5"/>
      <c r="G34" s="5"/>
      <c r="H34" s="5"/>
      <c r="I34" s="5"/>
      <c r="J34" s="5"/>
      <c r="L34" s="19" t="s">
        <v>116</v>
      </c>
      <c r="M34" s="19"/>
      <c r="N34" s="36" t="s">
        <v>158</v>
      </c>
      <c r="O34" s="39">
        <v>2</v>
      </c>
      <c r="P34" s="55">
        <f t="shared" si="9"/>
        <v>24</v>
      </c>
      <c r="Q34" s="55">
        <f t="shared" si="10"/>
        <v>30</v>
      </c>
      <c r="R34" s="37" t="s">
        <v>60</v>
      </c>
    </row>
    <row r="35" spans="1:18">
      <c r="A35" s="5"/>
      <c r="D35" s="5"/>
      <c r="E35" s="5"/>
      <c r="F35" s="5"/>
      <c r="G35" s="5"/>
      <c r="H35" s="5"/>
      <c r="I35" s="5"/>
      <c r="J35" s="5"/>
      <c r="L35" s="19" t="s">
        <v>96</v>
      </c>
      <c r="M35" s="19"/>
      <c r="N35" s="36" t="s">
        <v>159</v>
      </c>
      <c r="O35" s="39">
        <v>2</v>
      </c>
      <c r="P35" s="55">
        <f t="shared" si="9"/>
        <v>24</v>
      </c>
      <c r="Q35" s="55">
        <f t="shared" si="10"/>
        <v>30</v>
      </c>
      <c r="R35" s="37" t="s">
        <v>27</v>
      </c>
    </row>
    <row r="36" spans="1:18">
      <c r="A36" s="5"/>
      <c r="D36" s="5"/>
      <c r="E36" s="5"/>
      <c r="F36" s="5"/>
      <c r="G36" s="5"/>
      <c r="H36" s="5"/>
      <c r="I36" s="5"/>
      <c r="J36" s="5"/>
      <c r="L36" s="19" t="s">
        <v>119</v>
      </c>
      <c r="M36" s="19"/>
      <c r="N36" s="36" t="s">
        <v>160</v>
      </c>
      <c r="O36" s="39">
        <v>2</v>
      </c>
      <c r="P36" s="55">
        <f t="shared" si="9"/>
        <v>24</v>
      </c>
      <c r="Q36" s="55">
        <f t="shared" si="10"/>
        <v>30</v>
      </c>
      <c r="R36" s="37" t="s">
        <v>30</v>
      </c>
    </row>
    <row r="37" spans="1:18">
      <c r="A37" s="5"/>
      <c r="D37" s="5"/>
      <c r="E37" s="5"/>
      <c r="F37" s="5"/>
      <c r="G37" s="5"/>
      <c r="H37" s="5"/>
      <c r="I37" s="5"/>
      <c r="J37" s="5"/>
      <c r="L37" s="19" t="s">
        <v>26</v>
      </c>
      <c r="M37" s="19"/>
      <c r="N37" s="36" t="s">
        <v>161</v>
      </c>
      <c r="O37" s="39">
        <v>2</v>
      </c>
      <c r="P37" s="55">
        <f t="shared" si="9"/>
        <v>24</v>
      </c>
      <c r="Q37" s="55">
        <f t="shared" si="10"/>
        <v>30</v>
      </c>
      <c r="R37" s="37" t="s">
        <v>69</v>
      </c>
    </row>
    <row r="38" spans="1:18">
      <c r="A38" s="5"/>
      <c r="D38" s="5"/>
      <c r="E38" s="5"/>
      <c r="F38" s="5"/>
      <c r="G38" s="5"/>
      <c r="H38" s="5"/>
      <c r="I38" s="5"/>
      <c r="J38" s="5"/>
      <c r="L38" s="19" t="s">
        <v>97</v>
      </c>
      <c r="M38" s="19"/>
      <c r="N38" s="36" t="s">
        <v>162</v>
      </c>
      <c r="O38" s="39">
        <v>2</v>
      </c>
      <c r="P38" s="55">
        <f t="shared" si="9"/>
        <v>24</v>
      </c>
      <c r="Q38" s="55">
        <f t="shared" si="10"/>
        <v>30</v>
      </c>
      <c r="R38" s="37" t="s">
        <v>74</v>
      </c>
    </row>
    <row r="39" spans="1:18">
      <c r="A39" s="5"/>
      <c r="D39" s="5"/>
      <c r="E39" s="5"/>
      <c r="F39" s="5"/>
      <c r="G39" s="5"/>
      <c r="H39" s="5"/>
      <c r="I39" s="5"/>
      <c r="J39" s="5"/>
      <c r="L39" s="19" t="s">
        <v>98</v>
      </c>
      <c r="M39" s="19"/>
      <c r="N39" s="36" t="s">
        <v>163</v>
      </c>
      <c r="O39" s="39">
        <v>2</v>
      </c>
      <c r="P39" s="55">
        <f t="shared" si="9"/>
        <v>24</v>
      </c>
      <c r="Q39" s="55">
        <f t="shared" si="10"/>
        <v>30</v>
      </c>
      <c r="R39" s="37" t="s">
        <v>75</v>
      </c>
    </row>
    <row r="40" spans="1:18">
      <c r="A40" s="5"/>
      <c r="D40" s="5"/>
      <c r="E40" s="5"/>
      <c r="F40" s="5"/>
      <c r="G40" s="5"/>
      <c r="H40" s="5"/>
      <c r="I40" s="5"/>
      <c r="J40" s="5"/>
      <c r="L40" s="19" t="s">
        <v>28</v>
      </c>
      <c r="M40" s="19"/>
      <c r="N40" s="36" t="s">
        <v>164</v>
      </c>
      <c r="O40" s="39">
        <v>2</v>
      </c>
      <c r="P40" s="55">
        <f t="shared" si="9"/>
        <v>24</v>
      </c>
      <c r="Q40" s="55">
        <f t="shared" si="10"/>
        <v>30</v>
      </c>
      <c r="R40" s="37" t="s">
        <v>185</v>
      </c>
    </row>
    <row r="41" spans="1:18">
      <c r="A41" s="5"/>
      <c r="D41" s="5"/>
      <c r="E41" s="5"/>
      <c r="F41" s="5"/>
      <c r="G41" s="5"/>
      <c r="H41" s="5"/>
      <c r="I41" s="5"/>
      <c r="J41" s="5"/>
      <c r="L41" s="79" t="s">
        <v>205</v>
      </c>
      <c r="M41" s="79"/>
      <c r="N41" s="80" t="s">
        <v>204</v>
      </c>
      <c r="O41" s="81">
        <v>2</v>
      </c>
      <c r="P41" s="82">
        <f t="shared" ref="P41:P61" si="11">Q41/1.25</f>
        <v>24</v>
      </c>
      <c r="Q41" s="82">
        <f t="shared" ref="Q41:Q61" si="12">O41*15</f>
        <v>30</v>
      </c>
      <c r="R41" s="83" t="s">
        <v>211</v>
      </c>
    </row>
    <row r="42" spans="1:18">
      <c r="A42" s="5"/>
      <c r="D42" s="5"/>
      <c r="E42" s="5"/>
      <c r="F42" s="5"/>
      <c r="G42" s="5"/>
      <c r="H42" s="5"/>
      <c r="I42" s="5"/>
      <c r="J42" s="5"/>
      <c r="L42" s="19" t="s">
        <v>127</v>
      </c>
      <c r="M42" s="19"/>
      <c r="N42" s="42" t="s">
        <v>165</v>
      </c>
      <c r="O42" s="41">
        <v>2</v>
      </c>
      <c r="P42" s="55">
        <f t="shared" si="11"/>
        <v>24</v>
      </c>
      <c r="Q42" s="55">
        <f t="shared" si="12"/>
        <v>30</v>
      </c>
      <c r="R42" s="37"/>
    </row>
    <row r="43" spans="1:18">
      <c r="A43" s="5"/>
      <c r="D43" s="5"/>
      <c r="E43" s="5"/>
      <c r="F43" s="5"/>
      <c r="G43" s="5"/>
      <c r="H43" s="5"/>
      <c r="I43" s="5"/>
      <c r="J43" s="5"/>
      <c r="L43" s="19" t="s">
        <v>99</v>
      </c>
      <c r="M43" s="19"/>
      <c r="N43" s="42" t="s">
        <v>166</v>
      </c>
      <c r="O43" s="41">
        <v>2</v>
      </c>
      <c r="P43" s="55">
        <f t="shared" si="11"/>
        <v>24</v>
      </c>
      <c r="Q43" s="55">
        <f t="shared" si="12"/>
        <v>30</v>
      </c>
      <c r="R43" s="37"/>
    </row>
    <row r="44" spans="1:18">
      <c r="A44" s="5"/>
      <c r="D44" s="5"/>
      <c r="E44" s="5"/>
      <c r="F44" s="5"/>
      <c r="G44" s="5"/>
      <c r="H44" s="5"/>
      <c r="I44" s="5"/>
      <c r="J44" s="5"/>
      <c r="L44" s="19" t="s">
        <v>100</v>
      </c>
      <c r="M44" s="19"/>
      <c r="N44" s="42" t="s">
        <v>167</v>
      </c>
      <c r="O44" s="41">
        <v>2</v>
      </c>
      <c r="P44" s="55">
        <f t="shared" si="11"/>
        <v>24</v>
      </c>
      <c r="Q44" s="55">
        <f t="shared" si="12"/>
        <v>30</v>
      </c>
      <c r="R44" s="37"/>
    </row>
    <row r="45" spans="1:18">
      <c r="A45" s="5"/>
      <c r="D45" s="5"/>
      <c r="E45" s="5"/>
      <c r="F45" s="5"/>
      <c r="G45" s="5"/>
      <c r="H45" s="5"/>
      <c r="I45" s="5"/>
      <c r="J45" s="5"/>
      <c r="L45" s="19" t="s">
        <v>101</v>
      </c>
      <c r="M45" s="19"/>
      <c r="N45" s="42" t="s">
        <v>168</v>
      </c>
      <c r="O45" s="41">
        <v>2</v>
      </c>
      <c r="P45" s="55">
        <f t="shared" si="11"/>
        <v>24</v>
      </c>
      <c r="Q45" s="55">
        <f t="shared" si="12"/>
        <v>30</v>
      </c>
      <c r="R45" s="37"/>
    </row>
    <row r="46" spans="1:18">
      <c r="A46" s="5"/>
      <c r="D46" s="5"/>
      <c r="E46" s="5"/>
      <c r="F46" s="5"/>
      <c r="G46" s="5"/>
      <c r="H46" s="5"/>
      <c r="I46" s="5"/>
      <c r="J46" s="5"/>
      <c r="L46" s="19" t="s">
        <v>102</v>
      </c>
      <c r="M46" s="19"/>
      <c r="N46" s="42" t="s">
        <v>169</v>
      </c>
      <c r="O46" s="39">
        <v>2</v>
      </c>
      <c r="P46" s="55">
        <f t="shared" si="11"/>
        <v>24</v>
      </c>
      <c r="Q46" s="55">
        <f t="shared" si="12"/>
        <v>30</v>
      </c>
      <c r="R46" s="37" t="s">
        <v>182</v>
      </c>
    </row>
    <row r="47" spans="1:18">
      <c r="A47" s="5"/>
      <c r="D47" s="5"/>
      <c r="E47" s="5"/>
      <c r="F47" s="5"/>
      <c r="G47" s="5"/>
      <c r="H47" s="5"/>
      <c r="I47" s="5"/>
      <c r="J47" s="5"/>
      <c r="L47" s="19" t="s">
        <v>103</v>
      </c>
      <c r="M47" s="19"/>
      <c r="N47" s="42" t="s">
        <v>170</v>
      </c>
      <c r="O47" s="39">
        <v>2</v>
      </c>
      <c r="P47" s="55">
        <f t="shared" si="11"/>
        <v>24</v>
      </c>
      <c r="Q47" s="55">
        <f t="shared" si="12"/>
        <v>30</v>
      </c>
      <c r="R47" s="37" t="s">
        <v>76</v>
      </c>
    </row>
    <row r="48" spans="1:18">
      <c r="A48" s="5"/>
      <c r="D48" s="5"/>
      <c r="E48" s="5"/>
      <c r="F48" s="5"/>
      <c r="G48" s="5"/>
      <c r="H48" s="5"/>
      <c r="I48" s="5"/>
      <c r="J48" s="5"/>
      <c r="L48" s="19" t="s">
        <v>104</v>
      </c>
      <c r="M48" s="19"/>
      <c r="N48" s="36" t="s">
        <v>171</v>
      </c>
      <c r="O48" s="39">
        <v>2</v>
      </c>
      <c r="P48" s="55">
        <f t="shared" si="11"/>
        <v>24</v>
      </c>
      <c r="Q48" s="55">
        <f t="shared" si="12"/>
        <v>30</v>
      </c>
      <c r="R48" s="37" t="s">
        <v>72</v>
      </c>
    </row>
    <row r="49" spans="1:18">
      <c r="A49" s="5"/>
      <c r="D49" s="5"/>
      <c r="E49" s="5"/>
      <c r="F49" s="5"/>
      <c r="G49" s="5"/>
      <c r="H49" s="5"/>
      <c r="I49" s="5"/>
      <c r="J49" s="5"/>
      <c r="L49" s="19" t="s">
        <v>105</v>
      </c>
      <c r="M49" s="19"/>
      <c r="N49" s="36" t="s">
        <v>172</v>
      </c>
      <c r="O49" s="39">
        <v>2</v>
      </c>
      <c r="P49" s="55">
        <f t="shared" si="11"/>
        <v>24</v>
      </c>
      <c r="Q49" s="55">
        <f t="shared" si="12"/>
        <v>30</v>
      </c>
      <c r="R49" s="37" t="s">
        <v>77</v>
      </c>
    </row>
    <row r="50" spans="1:18">
      <c r="A50" s="5"/>
      <c r="D50" s="5"/>
      <c r="E50" s="5"/>
      <c r="F50" s="5"/>
      <c r="G50" s="5"/>
      <c r="H50" s="5"/>
      <c r="I50" s="5"/>
      <c r="J50" s="5"/>
      <c r="L50" s="19" t="s">
        <v>128</v>
      </c>
      <c r="M50" s="19"/>
      <c r="N50" s="36" t="s">
        <v>173</v>
      </c>
      <c r="O50" s="39">
        <v>2</v>
      </c>
      <c r="P50" s="55">
        <f t="shared" si="11"/>
        <v>24</v>
      </c>
      <c r="Q50" s="55">
        <f t="shared" si="12"/>
        <v>30</v>
      </c>
      <c r="R50" s="37" t="s">
        <v>78</v>
      </c>
    </row>
    <row r="51" spans="1:18">
      <c r="A51" s="5"/>
      <c r="D51" s="5"/>
      <c r="E51" s="5"/>
      <c r="F51" s="5"/>
      <c r="G51" s="5"/>
      <c r="H51" s="5"/>
      <c r="I51" s="5"/>
      <c r="J51" s="5"/>
      <c r="L51" s="19"/>
      <c r="M51" s="19"/>
      <c r="N51" s="36" t="s">
        <v>174</v>
      </c>
      <c r="O51" s="39">
        <v>2</v>
      </c>
      <c r="P51" s="55">
        <f t="shared" si="11"/>
        <v>24</v>
      </c>
      <c r="Q51" s="55">
        <f t="shared" si="12"/>
        <v>30</v>
      </c>
      <c r="R51" s="37" t="s">
        <v>79</v>
      </c>
    </row>
    <row r="52" spans="1:18">
      <c r="A52" s="5"/>
      <c r="D52" s="5"/>
      <c r="E52" s="5"/>
      <c r="F52" s="5"/>
      <c r="G52" s="5"/>
      <c r="H52" s="5"/>
      <c r="I52" s="5"/>
      <c r="J52" s="5"/>
      <c r="L52" s="32"/>
      <c r="M52" s="32" t="s">
        <v>57</v>
      </c>
      <c r="N52" s="43" t="s">
        <v>45</v>
      </c>
      <c r="O52" s="44">
        <v>3</v>
      </c>
      <c r="P52" s="57">
        <f t="shared" si="11"/>
        <v>36</v>
      </c>
      <c r="Q52" s="57">
        <f t="shared" si="12"/>
        <v>45</v>
      </c>
      <c r="R52" s="37" t="s">
        <v>58</v>
      </c>
    </row>
    <row r="53" spans="1:18">
      <c r="A53" s="5"/>
      <c r="D53" s="5"/>
      <c r="E53" s="5"/>
      <c r="F53" s="5"/>
      <c r="G53" s="5"/>
      <c r="H53" s="5"/>
      <c r="I53" s="5"/>
      <c r="J53" s="5"/>
      <c r="L53" s="19"/>
      <c r="M53" s="19" t="s">
        <v>57</v>
      </c>
      <c r="N53" s="45" t="s">
        <v>56</v>
      </c>
      <c r="O53" s="46">
        <v>4</v>
      </c>
      <c r="P53" s="55">
        <f t="shared" si="11"/>
        <v>48</v>
      </c>
      <c r="Q53" s="55">
        <f t="shared" si="12"/>
        <v>60</v>
      </c>
      <c r="R53" s="37"/>
    </row>
    <row r="54" spans="1:18">
      <c r="A54" s="5"/>
      <c r="D54" s="5"/>
      <c r="E54" s="5"/>
      <c r="F54" s="5"/>
      <c r="G54" s="5"/>
      <c r="H54" s="5"/>
      <c r="I54" s="5"/>
      <c r="J54" s="5"/>
      <c r="L54" s="19" t="s">
        <v>126</v>
      </c>
      <c r="M54" s="19" t="s">
        <v>57</v>
      </c>
      <c r="N54" s="47" t="s">
        <v>39</v>
      </c>
      <c r="O54" s="46">
        <v>3</v>
      </c>
      <c r="P54" s="55">
        <f t="shared" si="11"/>
        <v>36</v>
      </c>
      <c r="Q54" s="55">
        <f t="shared" si="12"/>
        <v>45</v>
      </c>
      <c r="R54" s="37" t="s">
        <v>59</v>
      </c>
    </row>
    <row r="55" spans="1:18">
      <c r="A55" s="5"/>
      <c r="D55" s="5"/>
      <c r="E55" s="5"/>
      <c r="F55" s="5"/>
      <c r="G55" s="5"/>
      <c r="H55" s="5"/>
      <c r="I55" s="5"/>
      <c r="J55" s="5"/>
      <c r="L55" s="19" t="s">
        <v>116</v>
      </c>
      <c r="M55" s="19" t="s">
        <v>57</v>
      </c>
      <c r="N55" s="47" t="s">
        <v>40</v>
      </c>
      <c r="O55" s="46">
        <v>3</v>
      </c>
      <c r="P55" s="55">
        <f t="shared" si="11"/>
        <v>36</v>
      </c>
      <c r="Q55" s="55">
        <f t="shared" si="12"/>
        <v>45</v>
      </c>
      <c r="R55" s="37" t="s">
        <v>60</v>
      </c>
    </row>
    <row r="56" spans="1:18">
      <c r="A56" s="5"/>
      <c r="D56" s="5"/>
      <c r="E56" s="5"/>
      <c r="F56" s="5"/>
      <c r="G56" s="5"/>
      <c r="H56" s="5"/>
      <c r="I56" s="5"/>
      <c r="J56" s="5"/>
      <c r="L56" s="19" t="s">
        <v>106</v>
      </c>
      <c r="M56" s="19" t="s">
        <v>57</v>
      </c>
      <c r="N56" s="47" t="s">
        <v>46</v>
      </c>
      <c r="O56" s="46">
        <v>3</v>
      </c>
      <c r="P56" s="55">
        <f t="shared" si="11"/>
        <v>36</v>
      </c>
      <c r="Q56" s="55">
        <f t="shared" si="12"/>
        <v>45</v>
      </c>
      <c r="R56" s="37" t="s">
        <v>61</v>
      </c>
    </row>
    <row r="57" spans="1:18">
      <c r="A57" s="5"/>
      <c r="D57" s="5"/>
      <c r="E57" s="5"/>
      <c r="F57" s="5"/>
      <c r="G57" s="5"/>
      <c r="H57" s="5"/>
      <c r="I57" s="5"/>
      <c r="J57" s="5"/>
      <c r="L57" s="19" t="s">
        <v>107</v>
      </c>
      <c r="M57" s="19" t="s">
        <v>57</v>
      </c>
      <c r="N57" s="47" t="s">
        <v>47</v>
      </c>
      <c r="O57" s="46">
        <v>3</v>
      </c>
      <c r="P57" s="55">
        <f t="shared" si="11"/>
        <v>36</v>
      </c>
      <c r="Q57" s="55">
        <f t="shared" si="12"/>
        <v>45</v>
      </c>
      <c r="R57" s="37" t="s">
        <v>61</v>
      </c>
    </row>
    <row r="58" spans="1:18">
      <c r="A58" s="5"/>
      <c r="D58" s="5"/>
      <c r="E58" s="5"/>
      <c r="F58" s="5"/>
      <c r="G58" s="5"/>
      <c r="H58" s="5"/>
      <c r="I58" s="5"/>
      <c r="J58" s="5"/>
      <c r="L58" s="19" t="s">
        <v>108</v>
      </c>
      <c r="M58" s="19" t="s">
        <v>57</v>
      </c>
      <c r="N58" s="45" t="s">
        <v>48</v>
      </c>
      <c r="O58" s="46">
        <v>3</v>
      </c>
      <c r="P58" s="55">
        <f t="shared" si="11"/>
        <v>36</v>
      </c>
      <c r="Q58" s="55">
        <f t="shared" si="12"/>
        <v>45</v>
      </c>
      <c r="R58" s="37" t="s">
        <v>62</v>
      </c>
    </row>
    <row r="59" spans="1:18">
      <c r="A59" s="5"/>
      <c r="D59" s="5"/>
      <c r="E59" s="5"/>
      <c r="F59" s="5"/>
      <c r="G59" s="5"/>
      <c r="H59" s="5"/>
      <c r="I59" s="5"/>
      <c r="J59" s="5"/>
      <c r="L59" s="19" t="s">
        <v>118</v>
      </c>
      <c r="M59" s="19" t="s">
        <v>57</v>
      </c>
      <c r="N59" s="45" t="s">
        <v>38</v>
      </c>
      <c r="O59" s="46">
        <v>3</v>
      </c>
      <c r="P59" s="55">
        <f t="shared" si="11"/>
        <v>36</v>
      </c>
      <c r="Q59" s="55">
        <f t="shared" si="12"/>
        <v>45</v>
      </c>
      <c r="R59" s="37" t="s">
        <v>63</v>
      </c>
    </row>
    <row r="60" spans="1:18">
      <c r="A60" s="5"/>
      <c r="D60" s="5"/>
      <c r="E60" s="5"/>
      <c r="F60" s="5"/>
      <c r="G60" s="5"/>
      <c r="H60" s="5"/>
      <c r="I60" s="5"/>
      <c r="J60" s="5"/>
      <c r="L60" s="19" t="s">
        <v>115</v>
      </c>
      <c r="M60" s="19" t="s">
        <v>57</v>
      </c>
      <c r="N60" s="45" t="s">
        <v>37</v>
      </c>
      <c r="O60" s="46">
        <v>3</v>
      </c>
      <c r="P60" s="55">
        <f t="shared" si="11"/>
        <v>36</v>
      </c>
      <c r="Q60" s="55">
        <f t="shared" si="12"/>
        <v>45</v>
      </c>
      <c r="R60" s="37" t="s">
        <v>131</v>
      </c>
    </row>
    <row r="61" spans="1:18">
      <c r="A61" s="5"/>
      <c r="D61" s="5"/>
      <c r="E61" s="5"/>
      <c r="F61" s="5"/>
      <c r="G61" s="5"/>
      <c r="H61" s="5"/>
      <c r="I61" s="5"/>
      <c r="J61" s="5"/>
      <c r="L61" s="19" t="s">
        <v>109</v>
      </c>
      <c r="M61" s="19" t="s">
        <v>57</v>
      </c>
      <c r="N61" s="45" t="s">
        <v>49</v>
      </c>
      <c r="O61" s="46">
        <v>3</v>
      </c>
      <c r="P61" s="55">
        <f t="shared" si="11"/>
        <v>36</v>
      </c>
      <c r="Q61" s="55">
        <f t="shared" si="12"/>
        <v>45</v>
      </c>
      <c r="R61" s="37" t="s">
        <v>61</v>
      </c>
    </row>
    <row r="62" spans="1:18">
      <c r="A62" s="5"/>
      <c r="D62" s="5"/>
      <c r="E62" s="5"/>
      <c r="F62" s="5"/>
      <c r="G62" s="5"/>
      <c r="H62" s="5"/>
      <c r="I62" s="5"/>
      <c r="J62" s="5"/>
      <c r="L62" s="19" t="s">
        <v>110</v>
      </c>
      <c r="M62" s="19" t="s">
        <v>57</v>
      </c>
      <c r="N62" s="47" t="s">
        <v>50</v>
      </c>
      <c r="O62" s="46">
        <v>3</v>
      </c>
      <c r="P62" s="55">
        <f t="shared" ref="P62:P66" si="13">Q62/1.25</f>
        <v>36</v>
      </c>
      <c r="Q62" s="55">
        <f t="shared" ref="Q62:Q66" si="14">O62*15</f>
        <v>45</v>
      </c>
      <c r="R62" s="37" t="s">
        <v>60</v>
      </c>
    </row>
    <row r="63" spans="1:18">
      <c r="A63" s="5"/>
      <c r="D63" s="5"/>
      <c r="E63" s="5"/>
      <c r="F63" s="5"/>
      <c r="G63" s="5"/>
      <c r="H63" s="5"/>
      <c r="I63" s="5"/>
      <c r="J63" s="5"/>
      <c r="L63" s="19" t="s">
        <v>111</v>
      </c>
      <c r="M63" s="19" t="s">
        <v>57</v>
      </c>
      <c r="N63" s="47" t="s">
        <v>51</v>
      </c>
      <c r="O63" s="46">
        <v>3</v>
      </c>
      <c r="P63" s="55">
        <f t="shared" si="13"/>
        <v>36</v>
      </c>
      <c r="Q63" s="55">
        <f t="shared" si="14"/>
        <v>45</v>
      </c>
      <c r="R63" s="37" t="s">
        <v>64</v>
      </c>
    </row>
    <row r="64" spans="1:18">
      <c r="A64" s="5"/>
      <c r="D64" s="5"/>
      <c r="E64" s="5"/>
      <c r="F64" s="5"/>
      <c r="G64" s="5"/>
      <c r="H64" s="5"/>
      <c r="I64" s="5"/>
      <c r="J64" s="5"/>
      <c r="L64" s="19" t="s">
        <v>112</v>
      </c>
      <c r="M64" s="19" t="s">
        <v>57</v>
      </c>
      <c r="N64" s="47" t="s">
        <v>52</v>
      </c>
      <c r="O64" s="48">
        <v>3</v>
      </c>
      <c r="P64" s="55">
        <f t="shared" si="13"/>
        <v>36</v>
      </c>
      <c r="Q64" s="55">
        <f t="shared" si="14"/>
        <v>45</v>
      </c>
      <c r="R64" s="37" t="s">
        <v>64</v>
      </c>
    </row>
    <row r="65" spans="1:18">
      <c r="A65" s="5"/>
      <c r="D65" s="5"/>
      <c r="E65" s="5"/>
      <c r="F65" s="5"/>
      <c r="G65" s="5"/>
      <c r="H65" s="5"/>
      <c r="I65" s="5"/>
      <c r="J65" s="5"/>
      <c r="L65" s="19" t="s">
        <v>113</v>
      </c>
      <c r="M65" s="19" t="s">
        <v>57</v>
      </c>
      <c r="N65" s="45" t="s">
        <v>53</v>
      </c>
      <c r="O65" s="46">
        <v>3</v>
      </c>
      <c r="P65" s="55">
        <f t="shared" si="13"/>
        <v>36</v>
      </c>
      <c r="Q65" s="55">
        <f t="shared" si="14"/>
        <v>45</v>
      </c>
      <c r="R65" s="37" t="s">
        <v>132</v>
      </c>
    </row>
    <row r="66" spans="1:18">
      <c r="A66" s="5"/>
      <c r="D66" s="5"/>
      <c r="E66" s="5"/>
      <c r="F66" s="5"/>
      <c r="G66" s="5"/>
      <c r="H66" s="5"/>
      <c r="I66" s="5"/>
      <c r="J66" s="5"/>
      <c r="L66" s="19" t="s">
        <v>103</v>
      </c>
      <c r="M66" s="19" t="s">
        <v>57</v>
      </c>
      <c r="N66" s="45" t="s">
        <v>54</v>
      </c>
      <c r="O66" s="46">
        <v>3</v>
      </c>
      <c r="P66" s="55">
        <f t="shared" si="13"/>
        <v>36</v>
      </c>
      <c r="Q66" s="55">
        <f t="shared" si="14"/>
        <v>45</v>
      </c>
      <c r="R66" s="37" t="s">
        <v>133</v>
      </c>
    </row>
    <row r="67" spans="1:18">
      <c r="A67" s="5"/>
      <c r="D67" s="5"/>
      <c r="E67" s="5"/>
      <c r="F67" s="5"/>
      <c r="G67" s="5"/>
      <c r="H67" s="5"/>
      <c r="I67" s="5"/>
      <c r="J67" s="5"/>
    </row>
    <row r="68" spans="1:18">
      <c r="A68" s="5"/>
      <c r="D68" s="5"/>
      <c r="E68" s="5"/>
      <c r="F68" s="5"/>
      <c r="G68" s="5"/>
      <c r="H68" s="5"/>
      <c r="I68" s="5"/>
      <c r="J68" s="5"/>
      <c r="L68" s="19"/>
      <c r="M68" s="60"/>
      <c r="N68" s="60" t="s">
        <v>31</v>
      </c>
      <c r="O68" s="60">
        <f>SUM(O4:O66)</f>
        <v>144</v>
      </c>
      <c r="P68" s="60">
        <f>SUM(P4:P66)</f>
        <v>1728</v>
      </c>
      <c r="Q68" s="60">
        <f>SUM(Q4:Q66)</f>
        <v>2160</v>
      </c>
      <c r="R68" s="60"/>
    </row>
    <row r="69" spans="1:18">
      <c r="A69" s="5"/>
      <c r="D69" s="5"/>
      <c r="E69" s="5"/>
      <c r="F69" s="5"/>
      <c r="G69" s="5"/>
      <c r="H69" s="5"/>
      <c r="I69" s="5"/>
      <c r="J69" s="5"/>
      <c r="L69" s="2"/>
      <c r="M69" s="2"/>
      <c r="N69" s="2"/>
      <c r="O69" s="3"/>
      <c r="P69" s="3"/>
      <c r="Q69" s="3"/>
      <c r="R69" s="2"/>
    </row>
  </sheetData>
  <mergeCells count="2">
    <mergeCell ref="A1:J1"/>
    <mergeCell ref="A2:J2"/>
  </mergeCells>
  <phoneticPr fontId="5" type="noConversion"/>
  <conditionalFormatting sqref="B1:B3">
    <cfRule type="cellIs" dxfId="16" priority="3" operator="equal">
      <formula>"Sat"</formula>
    </cfRule>
  </conditionalFormatting>
  <conditionalFormatting sqref="B4:B24">
    <cfRule type="containsText" dxfId="15" priority="1" operator="containsText" text="Sun">
      <formula>NOT(ISERROR(SEARCH("Sun",B4)))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A591-A0CF-458F-8B97-185C30C1320C}">
  <dimension ref="A1:T158"/>
  <sheetViews>
    <sheetView zoomScale="90" zoomScaleNormal="90" workbookViewId="0">
      <pane xSplit="3" ySplit="3" topLeftCell="D4" activePane="bottomRight" state="frozen"/>
      <selection activeCell="C62" sqref="C62"/>
      <selection pane="topRight" activeCell="C62" sqref="C62"/>
      <selection pane="bottomLeft" activeCell="C62" sqref="C62"/>
      <selection pane="bottomRight" activeCell="A25" sqref="A25:J1202"/>
    </sheetView>
  </sheetViews>
  <sheetFormatPr defaultRowHeight="15"/>
  <cols>
    <col min="1" max="1" width="10.85546875" style="1" bestFit="1" customWidth="1"/>
    <col min="2" max="2" width="10.85546875" style="5" customWidth="1"/>
    <col min="3" max="3" width="7.85546875" style="5" customWidth="1"/>
    <col min="4" max="4" width="11.7109375" style="1" bestFit="1" customWidth="1"/>
    <col min="5" max="7" width="11.85546875" style="1" bestFit="1" customWidth="1"/>
    <col min="8" max="9" width="12.5703125" style="1" bestFit="1" customWidth="1"/>
    <col min="10" max="10" width="11.85546875" style="1" bestFit="1" customWidth="1"/>
    <col min="11" max="11" width="35.5703125" style="5" bestFit="1" customWidth="1"/>
    <col min="12" max="12" width="13.42578125" style="1" bestFit="1" customWidth="1"/>
    <col min="13" max="13" width="11" style="1" customWidth="1"/>
    <col min="14" max="14" width="55.42578125" style="50" bestFit="1" customWidth="1"/>
    <col min="15" max="15" width="6.42578125" style="3" customWidth="1"/>
    <col min="16" max="16" width="8.5703125" style="2" bestFit="1" customWidth="1"/>
    <col min="17" max="17" width="9" style="2" bestFit="1" customWidth="1"/>
    <col min="18" max="18" width="25.7109375" style="12" bestFit="1" customWidth="1"/>
    <col min="19" max="16384" width="9.140625" style="2"/>
  </cols>
  <sheetData>
    <row r="1" spans="1:20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</row>
    <row r="2" spans="1:20" ht="18.75">
      <c r="A2" s="95" t="s">
        <v>195</v>
      </c>
      <c r="B2" s="95"/>
      <c r="C2" s="95"/>
      <c r="D2" s="95"/>
      <c r="E2" s="95"/>
      <c r="F2" s="95"/>
      <c r="G2" s="95"/>
      <c r="H2" s="95"/>
      <c r="I2" s="95"/>
      <c r="J2" s="95"/>
      <c r="L2" s="23"/>
      <c r="M2" s="23"/>
      <c r="N2" s="53"/>
      <c r="O2" s="23"/>
      <c r="P2" s="23"/>
      <c r="Q2" s="23"/>
      <c r="R2" s="23"/>
      <c r="S2" s="23"/>
      <c r="T2" s="23"/>
    </row>
    <row r="3" spans="1:20" s="1" customFormat="1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L3" s="11" t="s">
        <v>9</v>
      </c>
      <c r="M3" s="11"/>
      <c r="N3" s="54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8" t="s">
        <v>16</v>
      </c>
      <c r="T3" s="8" t="s">
        <v>17</v>
      </c>
    </row>
    <row r="4" spans="1:20">
      <c r="A4" s="24">
        <v>46237</v>
      </c>
      <c r="B4" s="4" t="s">
        <v>19</v>
      </c>
      <c r="C4" s="7">
        <v>1</v>
      </c>
      <c r="D4" s="61" t="s">
        <v>96</v>
      </c>
      <c r="E4" s="16" t="s">
        <v>119</v>
      </c>
      <c r="F4" s="4" t="s">
        <v>97</v>
      </c>
      <c r="G4" s="18"/>
      <c r="H4" s="15" t="s">
        <v>88</v>
      </c>
      <c r="I4" s="16" t="s">
        <v>98</v>
      </c>
      <c r="J4" s="61" t="s">
        <v>94</v>
      </c>
      <c r="L4" s="4" t="s">
        <v>83</v>
      </c>
      <c r="M4" s="4"/>
      <c r="N4" s="36" t="s">
        <v>41</v>
      </c>
      <c r="O4" s="25">
        <v>2</v>
      </c>
      <c r="P4" s="14">
        <f t="shared" ref="P4:P15" si="0">Q4/1.25</f>
        <v>24</v>
      </c>
      <c r="Q4" s="14">
        <f t="shared" ref="Q4:Q15" si="1">O4*15</f>
        <v>30</v>
      </c>
      <c r="R4" s="34" t="s">
        <v>60</v>
      </c>
      <c r="S4" s="13">
        <f>COUNTIF($D$4:$J$144,"AIM")</f>
        <v>1</v>
      </c>
      <c r="T4" s="13">
        <f t="shared" ref="T4:T15" si="2">P4-S4</f>
        <v>23</v>
      </c>
    </row>
    <row r="5" spans="1:20" ht="25.5">
      <c r="A5" s="24">
        <v>46238</v>
      </c>
      <c r="B5" s="4" t="s">
        <v>20</v>
      </c>
      <c r="C5" s="7">
        <f>C4+1</f>
        <v>2</v>
      </c>
      <c r="D5" s="61" t="s">
        <v>28</v>
      </c>
      <c r="E5" s="16" t="s">
        <v>175</v>
      </c>
      <c r="F5" s="16" t="s">
        <v>187</v>
      </c>
      <c r="G5" s="18"/>
      <c r="H5" s="16" t="s">
        <v>190</v>
      </c>
      <c r="I5" s="16"/>
      <c r="J5" s="61" t="s">
        <v>93</v>
      </c>
      <c r="L5" s="26" t="s">
        <v>84</v>
      </c>
      <c r="M5" s="26"/>
      <c r="N5" s="36" t="s">
        <v>42</v>
      </c>
      <c r="O5" s="27">
        <v>2</v>
      </c>
      <c r="P5" s="14">
        <f t="shared" si="0"/>
        <v>24</v>
      </c>
      <c r="Q5" s="14">
        <f t="shared" si="1"/>
        <v>30</v>
      </c>
      <c r="R5" s="31"/>
      <c r="S5" s="13">
        <f>COUNTIF($D$4:$J$144,"MA")</f>
        <v>0</v>
      </c>
      <c r="T5" s="13">
        <f t="shared" si="2"/>
        <v>24</v>
      </c>
    </row>
    <row r="6" spans="1:20" ht="25.5">
      <c r="A6" s="24">
        <v>46239</v>
      </c>
      <c r="B6" s="4" t="s">
        <v>21</v>
      </c>
      <c r="C6" s="7">
        <f t="shared" ref="C6:C9" si="3">C5+1</f>
        <v>3</v>
      </c>
      <c r="D6" s="17" t="s">
        <v>126</v>
      </c>
      <c r="E6" s="4" t="s">
        <v>95</v>
      </c>
      <c r="F6" s="17" t="s">
        <v>178</v>
      </c>
      <c r="G6" s="18"/>
      <c r="H6" s="16" t="s">
        <v>191</v>
      </c>
      <c r="I6" s="16" t="s">
        <v>184</v>
      </c>
      <c r="J6" s="61" t="s">
        <v>118</v>
      </c>
      <c r="L6" s="26" t="s">
        <v>32</v>
      </c>
      <c r="M6" s="26"/>
      <c r="N6" s="36" t="s">
        <v>43</v>
      </c>
      <c r="O6" s="25">
        <v>2</v>
      </c>
      <c r="P6" s="14">
        <f t="shared" si="0"/>
        <v>24</v>
      </c>
      <c r="Q6" s="14">
        <f t="shared" si="1"/>
        <v>30</v>
      </c>
      <c r="R6" s="35" t="s">
        <v>62</v>
      </c>
      <c r="S6" s="13">
        <f>COUNTIF($D$4:$J$144,"FT")</f>
        <v>0</v>
      </c>
      <c r="T6" s="13">
        <f t="shared" si="2"/>
        <v>24</v>
      </c>
    </row>
    <row r="7" spans="1:20" ht="25.5">
      <c r="A7" s="24">
        <v>46240</v>
      </c>
      <c r="B7" s="4" t="s">
        <v>22</v>
      </c>
      <c r="C7" s="7">
        <f t="shared" si="3"/>
        <v>4</v>
      </c>
      <c r="D7" s="4" t="s">
        <v>116</v>
      </c>
      <c r="E7" s="17" t="s">
        <v>183</v>
      </c>
      <c r="F7" s="16" t="s">
        <v>26</v>
      </c>
      <c r="G7" s="18"/>
      <c r="H7" s="16" t="s">
        <v>181</v>
      </c>
      <c r="I7" s="16" t="s">
        <v>192</v>
      </c>
      <c r="J7" s="61" t="s">
        <v>120</v>
      </c>
      <c r="L7" s="26" t="s">
        <v>129</v>
      </c>
      <c r="M7" s="26"/>
      <c r="N7" s="38" t="s">
        <v>55</v>
      </c>
      <c r="O7" s="28">
        <v>1</v>
      </c>
      <c r="P7" s="14">
        <f t="shared" si="0"/>
        <v>12</v>
      </c>
      <c r="Q7" s="14">
        <f t="shared" si="1"/>
        <v>15</v>
      </c>
      <c r="R7" s="31"/>
      <c r="S7" s="13">
        <f>COUNTIF($D$4:$J$144,"SFM")</f>
        <v>0</v>
      </c>
      <c r="T7" s="13">
        <f t="shared" si="2"/>
        <v>12</v>
      </c>
    </row>
    <row r="8" spans="1:20">
      <c r="A8" s="24">
        <v>46241</v>
      </c>
      <c r="B8" s="4" t="s">
        <v>23</v>
      </c>
      <c r="C8" s="7">
        <f t="shared" si="3"/>
        <v>5</v>
      </c>
      <c r="D8" s="73" t="s">
        <v>134</v>
      </c>
      <c r="E8" s="73" t="s">
        <v>134</v>
      </c>
      <c r="F8" s="73" t="s">
        <v>134</v>
      </c>
      <c r="G8" s="18"/>
      <c r="H8" s="73" t="s">
        <v>134</v>
      </c>
      <c r="I8" s="73" t="s">
        <v>134</v>
      </c>
      <c r="J8" s="73" t="s">
        <v>134</v>
      </c>
      <c r="L8" s="20" t="s">
        <v>117</v>
      </c>
      <c r="M8" s="20"/>
      <c r="N8" s="36" t="s">
        <v>136</v>
      </c>
      <c r="O8" s="39">
        <v>2</v>
      </c>
      <c r="P8" s="55">
        <f t="shared" si="0"/>
        <v>24</v>
      </c>
      <c r="Q8" s="55">
        <f t="shared" si="1"/>
        <v>30</v>
      </c>
      <c r="R8" s="56" t="s">
        <v>82</v>
      </c>
      <c r="S8" s="29">
        <f>COUNTIF($D$4:$J$144,"TAX")</f>
        <v>0</v>
      </c>
      <c r="T8" s="29">
        <f t="shared" si="2"/>
        <v>24</v>
      </c>
    </row>
    <row r="9" spans="1:20">
      <c r="A9" s="24">
        <v>46242</v>
      </c>
      <c r="B9" s="4" t="s">
        <v>24</v>
      </c>
      <c r="C9" s="7">
        <f t="shared" si="3"/>
        <v>6</v>
      </c>
      <c r="D9" s="73"/>
      <c r="E9" s="73"/>
      <c r="F9" s="73" t="s">
        <v>32</v>
      </c>
      <c r="G9" s="18"/>
      <c r="H9" s="73" t="s">
        <v>32</v>
      </c>
      <c r="I9" s="73"/>
      <c r="J9" s="73"/>
      <c r="L9" s="19" t="s">
        <v>120</v>
      </c>
      <c r="M9" s="19"/>
      <c r="N9" s="36" t="s">
        <v>137</v>
      </c>
      <c r="O9" s="39">
        <v>2</v>
      </c>
      <c r="P9" s="55">
        <f t="shared" si="0"/>
        <v>24</v>
      </c>
      <c r="Q9" s="55">
        <f t="shared" si="1"/>
        <v>30</v>
      </c>
      <c r="R9" s="76" t="s">
        <v>68</v>
      </c>
      <c r="S9" s="29">
        <f>COUNTIF($D$4:$J$144,"SAPM")</f>
        <v>3</v>
      </c>
      <c r="T9" s="29">
        <f t="shared" si="2"/>
        <v>21</v>
      </c>
    </row>
    <row r="10" spans="1:20">
      <c r="A10" s="24">
        <v>46243</v>
      </c>
      <c r="B10" s="4" t="s">
        <v>25</v>
      </c>
      <c r="C10" s="7"/>
      <c r="D10" s="21"/>
      <c r="E10" s="21"/>
      <c r="F10" s="22"/>
      <c r="G10" s="6"/>
      <c r="H10" s="22"/>
      <c r="I10" s="21"/>
      <c r="J10" s="75"/>
      <c r="L10" s="19" t="s">
        <v>85</v>
      </c>
      <c r="M10" s="19"/>
      <c r="N10" s="36" t="s">
        <v>138</v>
      </c>
      <c r="O10" s="39">
        <v>2</v>
      </c>
      <c r="P10" s="55">
        <f t="shared" si="0"/>
        <v>24</v>
      </c>
      <c r="Q10" s="55">
        <f t="shared" si="1"/>
        <v>30</v>
      </c>
      <c r="R10" s="76" t="s">
        <v>65</v>
      </c>
      <c r="S10" s="29">
        <f>COUNTIF($D$4:$J$144,"DSMM")</f>
        <v>3</v>
      </c>
      <c r="T10" s="29">
        <f t="shared" si="2"/>
        <v>21</v>
      </c>
    </row>
    <row r="11" spans="1:20">
      <c r="A11" s="24">
        <v>46244</v>
      </c>
      <c r="B11" s="4" t="s">
        <v>19</v>
      </c>
      <c r="C11" s="7">
        <f>C9+1</f>
        <v>7</v>
      </c>
      <c r="D11" s="61" t="s">
        <v>96</v>
      </c>
      <c r="E11" s="16" t="s">
        <v>119</v>
      </c>
      <c r="F11" s="4" t="s">
        <v>97</v>
      </c>
      <c r="G11" s="18"/>
      <c r="H11" s="15" t="s">
        <v>203</v>
      </c>
      <c r="I11" s="16" t="s">
        <v>98</v>
      </c>
      <c r="J11" s="61" t="s">
        <v>94</v>
      </c>
      <c r="L11" s="19" t="s">
        <v>86</v>
      </c>
      <c r="M11" s="19"/>
      <c r="N11" s="36" t="s">
        <v>139</v>
      </c>
      <c r="O11" s="39">
        <v>2</v>
      </c>
      <c r="P11" s="55">
        <f t="shared" si="0"/>
        <v>24</v>
      </c>
      <c r="Q11" s="55">
        <f t="shared" si="1"/>
        <v>30</v>
      </c>
      <c r="R11" s="76" t="s">
        <v>58</v>
      </c>
      <c r="S11" s="29">
        <f>COUNTIF($D$4:$J$144,"IMC")</f>
        <v>0</v>
      </c>
      <c r="T11" s="29">
        <f t="shared" si="2"/>
        <v>24</v>
      </c>
    </row>
    <row r="12" spans="1:20" ht="25.5">
      <c r="A12" s="24">
        <v>46245</v>
      </c>
      <c r="B12" s="4" t="s">
        <v>20</v>
      </c>
      <c r="C12" s="7">
        <f>C11+1</f>
        <v>8</v>
      </c>
      <c r="D12" s="61" t="s">
        <v>28</v>
      </c>
      <c r="E12" s="16" t="s">
        <v>175</v>
      </c>
      <c r="F12" s="16" t="s">
        <v>187</v>
      </c>
      <c r="G12" s="18"/>
      <c r="H12" s="16" t="s">
        <v>190</v>
      </c>
      <c r="I12" s="16" t="s">
        <v>83</v>
      </c>
      <c r="J12" s="61" t="s">
        <v>93</v>
      </c>
      <c r="L12" s="19" t="s">
        <v>87</v>
      </c>
      <c r="M12" s="19"/>
      <c r="N12" s="36" t="s">
        <v>140</v>
      </c>
      <c r="O12" s="39">
        <v>2</v>
      </c>
      <c r="P12" s="55">
        <f t="shared" si="0"/>
        <v>24</v>
      </c>
      <c r="Q12" s="55">
        <f t="shared" si="1"/>
        <v>30</v>
      </c>
      <c r="R12" s="76" t="s">
        <v>67</v>
      </c>
      <c r="S12" s="29">
        <f>COUNTIF($D$4:$J$144,"PS")</f>
        <v>0</v>
      </c>
      <c r="T12" s="29">
        <f t="shared" si="2"/>
        <v>24</v>
      </c>
    </row>
    <row r="13" spans="1:20" ht="25.5">
      <c r="A13" s="24">
        <v>46246</v>
      </c>
      <c r="B13" s="4" t="s">
        <v>21</v>
      </c>
      <c r="C13" s="7">
        <f t="shared" ref="C13:C15" si="4">C12+1</f>
        <v>9</v>
      </c>
      <c r="D13" s="17" t="s">
        <v>126</v>
      </c>
      <c r="E13" s="4" t="s">
        <v>95</v>
      </c>
      <c r="F13" s="17" t="s">
        <v>178</v>
      </c>
      <c r="G13" s="18"/>
      <c r="H13" s="16" t="s">
        <v>191</v>
      </c>
      <c r="I13" s="16" t="s">
        <v>184</v>
      </c>
      <c r="J13" s="61" t="s">
        <v>118</v>
      </c>
      <c r="L13" s="19" t="s">
        <v>88</v>
      </c>
      <c r="M13" s="19"/>
      <c r="N13" s="36" t="s">
        <v>141</v>
      </c>
      <c r="O13" s="39">
        <v>2</v>
      </c>
      <c r="P13" s="55">
        <f t="shared" si="0"/>
        <v>24</v>
      </c>
      <c r="Q13" s="55">
        <f t="shared" si="1"/>
        <v>30</v>
      </c>
      <c r="R13" s="76" t="s">
        <v>66</v>
      </c>
      <c r="S13" s="29">
        <f>COUNTIF($D$4:$J$144,"DDM")</f>
        <v>3</v>
      </c>
      <c r="T13" s="29">
        <f t="shared" si="2"/>
        <v>21</v>
      </c>
    </row>
    <row r="14" spans="1:20" ht="25.5">
      <c r="A14" s="24">
        <v>46247</v>
      </c>
      <c r="B14" s="4" t="s">
        <v>22</v>
      </c>
      <c r="C14" s="7">
        <f t="shared" si="4"/>
        <v>10</v>
      </c>
      <c r="D14" s="4" t="s">
        <v>116</v>
      </c>
      <c r="E14" s="17" t="s">
        <v>183</v>
      </c>
      <c r="F14" s="16" t="s">
        <v>26</v>
      </c>
      <c r="G14" s="18"/>
      <c r="H14" s="16" t="s">
        <v>181</v>
      </c>
      <c r="I14" s="16" t="s">
        <v>192</v>
      </c>
      <c r="J14" s="61" t="s">
        <v>120</v>
      </c>
      <c r="L14" s="19" t="s">
        <v>121</v>
      </c>
      <c r="M14" s="19"/>
      <c r="N14" s="36" t="s">
        <v>142</v>
      </c>
      <c r="O14" s="39">
        <v>2</v>
      </c>
      <c r="P14" s="55">
        <f t="shared" si="0"/>
        <v>24</v>
      </c>
      <c r="Q14" s="55">
        <f t="shared" si="1"/>
        <v>30</v>
      </c>
      <c r="R14" s="76"/>
      <c r="S14" s="29">
        <f>COUNTIF($D$4:$J$144,"EM")</f>
        <v>0</v>
      </c>
      <c r="T14" s="29">
        <f t="shared" si="2"/>
        <v>24</v>
      </c>
    </row>
    <row r="15" spans="1:20">
      <c r="A15" s="24">
        <v>46248</v>
      </c>
      <c r="B15" s="4" t="s">
        <v>23</v>
      </c>
      <c r="C15" s="7">
        <f t="shared" si="4"/>
        <v>11</v>
      </c>
      <c r="D15" s="73" t="s">
        <v>34</v>
      </c>
      <c r="E15" s="73" t="s">
        <v>34</v>
      </c>
      <c r="F15" s="73"/>
      <c r="G15" s="18"/>
      <c r="H15" s="73"/>
      <c r="I15" s="73" t="s">
        <v>32</v>
      </c>
      <c r="J15" s="73" t="s">
        <v>32</v>
      </c>
      <c r="L15" s="19" t="s">
        <v>122</v>
      </c>
      <c r="M15" s="19"/>
      <c r="N15" s="36" t="s">
        <v>143</v>
      </c>
      <c r="O15" s="39">
        <v>2</v>
      </c>
      <c r="P15" s="55">
        <f t="shared" si="0"/>
        <v>24</v>
      </c>
      <c r="Q15" s="55">
        <f t="shared" si="1"/>
        <v>30</v>
      </c>
      <c r="R15" s="76" t="s">
        <v>66</v>
      </c>
      <c r="S15" s="29">
        <f>COUNTIF($D$4:$J$144,"GSCM")</f>
        <v>0</v>
      </c>
      <c r="T15" s="29">
        <f t="shared" si="2"/>
        <v>24</v>
      </c>
    </row>
    <row r="16" spans="1:20">
      <c r="A16" s="24">
        <v>46249</v>
      </c>
      <c r="B16" s="4" t="s">
        <v>24</v>
      </c>
      <c r="C16" s="9" t="s">
        <v>33</v>
      </c>
      <c r="D16" s="73"/>
      <c r="E16" s="73"/>
      <c r="F16" s="73"/>
      <c r="G16" s="18"/>
      <c r="H16" s="73"/>
      <c r="I16" s="73"/>
      <c r="J16" s="73"/>
      <c r="L16" s="19"/>
      <c r="M16" s="19"/>
      <c r="N16" s="37" t="s">
        <v>35</v>
      </c>
      <c r="O16" s="70">
        <v>4</v>
      </c>
      <c r="P16" s="55">
        <f t="shared" ref="P16:P27" si="5">Q16/1.25</f>
        <v>48</v>
      </c>
      <c r="Q16" s="55">
        <f t="shared" ref="Q16:Q27" si="6">O16*15</f>
        <v>60</v>
      </c>
      <c r="R16" s="56"/>
      <c r="S16" s="29">
        <f>COUNTIF($D$4:$J$144,"WAAL")</f>
        <v>0</v>
      </c>
      <c r="T16" s="29">
        <f t="shared" ref="T16:T27" si="7">P16-S16</f>
        <v>48</v>
      </c>
    </row>
    <row r="17" spans="1:20">
      <c r="A17" s="24">
        <v>46250</v>
      </c>
      <c r="B17" s="4" t="s">
        <v>25</v>
      </c>
      <c r="C17" s="9"/>
      <c r="D17" s="21"/>
      <c r="E17" s="21"/>
      <c r="F17" s="22"/>
      <c r="G17" s="6"/>
      <c r="H17" s="22"/>
      <c r="I17" s="21"/>
      <c r="J17" s="75"/>
      <c r="L17" s="19" t="s">
        <v>123</v>
      </c>
      <c r="M17" s="19"/>
      <c r="N17" s="37" t="s">
        <v>144</v>
      </c>
      <c r="O17" s="72">
        <v>2</v>
      </c>
      <c r="P17" s="55">
        <f t="shared" si="5"/>
        <v>24</v>
      </c>
      <c r="Q17" s="55">
        <f t="shared" si="6"/>
        <v>30</v>
      </c>
      <c r="R17" s="56"/>
      <c r="S17" s="29">
        <f>COUNTIF($D$4:$J$144,"GTO")</f>
        <v>0</v>
      </c>
      <c r="T17" s="29">
        <f t="shared" si="7"/>
        <v>24</v>
      </c>
    </row>
    <row r="18" spans="1:20">
      <c r="A18" s="24">
        <v>46251</v>
      </c>
      <c r="B18" s="4" t="s">
        <v>19</v>
      </c>
      <c r="C18" s="9">
        <f>C15+1</f>
        <v>12</v>
      </c>
      <c r="D18" s="61" t="s">
        <v>96</v>
      </c>
      <c r="E18" s="16" t="s">
        <v>119</v>
      </c>
      <c r="F18" s="4" t="s">
        <v>97</v>
      </c>
      <c r="G18" s="18"/>
      <c r="H18" s="15" t="s">
        <v>203</v>
      </c>
      <c r="I18" s="16" t="s">
        <v>98</v>
      </c>
      <c r="J18" s="61" t="s">
        <v>94</v>
      </c>
      <c r="K18" s="5" t="s">
        <v>216</v>
      </c>
      <c r="L18" s="19" t="s">
        <v>89</v>
      </c>
      <c r="M18" s="19"/>
      <c r="N18" s="37" t="s">
        <v>145</v>
      </c>
      <c r="O18" s="72">
        <v>2</v>
      </c>
      <c r="P18" s="55">
        <f t="shared" si="5"/>
        <v>24</v>
      </c>
      <c r="Q18" s="55">
        <f t="shared" si="6"/>
        <v>30</v>
      </c>
      <c r="R18" s="56" t="s">
        <v>80</v>
      </c>
      <c r="S18" s="29">
        <f>COUNTIF($D$4:$J$144,"RSCM")</f>
        <v>0</v>
      </c>
      <c r="T18" s="29">
        <f t="shared" si="7"/>
        <v>24</v>
      </c>
    </row>
    <row r="19" spans="1:20" ht="25.5">
      <c r="A19" s="24">
        <v>46252</v>
      </c>
      <c r="B19" s="4" t="s">
        <v>20</v>
      </c>
      <c r="C19" s="9">
        <f>C18+1</f>
        <v>13</v>
      </c>
      <c r="D19" s="61" t="s">
        <v>28</v>
      </c>
      <c r="E19" s="16" t="s">
        <v>175</v>
      </c>
      <c r="F19" s="16" t="s">
        <v>187</v>
      </c>
      <c r="G19" s="18"/>
      <c r="H19" s="16" t="s">
        <v>190</v>
      </c>
      <c r="I19" s="16"/>
      <c r="J19" s="61" t="s">
        <v>93</v>
      </c>
      <c r="K19" s="5" t="s">
        <v>217</v>
      </c>
      <c r="L19" s="64" t="s">
        <v>90</v>
      </c>
      <c r="M19" s="64"/>
      <c r="N19" s="65" t="s">
        <v>146</v>
      </c>
      <c r="O19" s="66">
        <v>2</v>
      </c>
      <c r="P19" s="67">
        <f t="shared" si="5"/>
        <v>24</v>
      </c>
      <c r="Q19" s="67">
        <f t="shared" si="6"/>
        <v>30</v>
      </c>
      <c r="R19" s="68" t="s">
        <v>30</v>
      </c>
      <c r="S19" s="69">
        <f>COUNTIF($D$4:$J$144,"IHRM")</f>
        <v>0</v>
      </c>
      <c r="T19" s="69">
        <f t="shared" si="7"/>
        <v>24</v>
      </c>
    </row>
    <row r="20" spans="1:20" ht="25.5">
      <c r="A20" s="24">
        <v>46253</v>
      </c>
      <c r="B20" s="4" t="s">
        <v>21</v>
      </c>
      <c r="C20" s="9">
        <f t="shared" ref="C20:C23" si="8">C19+1</f>
        <v>14</v>
      </c>
      <c r="D20" s="17" t="s">
        <v>126</v>
      </c>
      <c r="E20" s="4" t="s">
        <v>95</v>
      </c>
      <c r="F20" s="17" t="s">
        <v>178</v>
      </c>
      <c r="G20" s="18"/>
      <c r="H20" s="16" t="s">
        <v>191</v>
      </c>
      <c r="I20" s="16" t="s">
        <v>184</v>
      </c>
      <c r="J20" s="61" t="s">
        <v>118</v>
      </c>
      <c r="L20" s="19" t="s">
        <v>124</v>
      </c>
      <c r="M20" s="19"/>
      <c r="N20" s="36" t="s">
        <v>147</v>
      </c>
      <c r="O20" s="41">
        <v>2</v>
      </c>
      <c r="P20" s="55">
        <f t="shared" si="5"/>
        <v>24</v>
      </c>
      <c r="Q20" s="55">
        <f t="shared" si="6"/>
        <v>30</v>
      </c>
      <c r="R20" s="56" t="s">
        <v>69</v>
      </c>
      <c r="S20" s="29">
        <f>COUNTIF($D$4:$J$144,"LEI")</f>
        <v>0</v>
      </c>
      <c r="T20" s="29">
        <f t="shared" si="7"/>
        <v>24</v>
      </c>
    </row>
    <row r="21" spans="1:20" ht="25.5">
      <c r="A21" s="24">
        <v>46254</v>
      </c>
      <c r="B21" s="4" t="s">
        <v>22</v>
      </c>
      <c r="C21" s="9">
        <f t="shared" si="8"/>
        <v>15</v>
      </c>
      <c r="D21" s="4" t="s">
        <v>116</v>
      </c>
      <c r="E21" s="17" t="s">
        <v>183</v>
      </c>
      <c r="F21" s="16" t="s">
        <v>26</v>
      </c>
      <c r="G21" s="18"/>
      <c r="H21" s="16" t="s">
        <v>202</v>
      </c>
      <c r="I21" s="16" t="s">
        <v>192</v>
      </c>
      <c r="J21" s="61" t="s">
        <v>120</v>
      </c>
      <c r="L21" s="19" t="s">
        <v>91</v>
      </c>
      <c r="M21" s="19"/>
      <c r="N21" s="36" t="s">
        <v>36</v>
      </c>
      <c r="O21" s="39">
        <v>2</v>
      </c>
      <c r="P21" s="55">
        <f t="shared" si="5"/>
        <v>24</v>
      </c>
      <c r="Q21" s="55">
        <f t="shared" si="6"/>
        <v>30</v>
      </c>
      <c r="R21" s="56" t="s">
        <v>193</v>
      </c>
      <c r="S21" s="29">
        <f>COUNTIF($D$4:$J$144,"CRP3")</f>
        <v>9</v>
      </c>
      <c r="T21" s="29">
        <f t="shared" si="7"/>
        <v>15</v>
      </c>
    </row>
    <row r="22" spans="1:20">
      <c r="A22" s="24">
        <v>46255</v>
      </c>
      <c r="B22" s="4" t="s">
        <v>23</v>
      </c>
      <c r="C22" s="9">
        <f t="shared" si="8"/>
        <v>16</v>
      </c>
      <c r="D22" s="73" t="s">
        <v>34</v>
      </c>
      <c r="E22" s="73" t="s">
        <v>34</v>
      </c>
      <c r="F22" s="73" t="s">
        <v>44</v>
      </c>
      <c r="G22" s="18"/>
      <c r="H22" s="73" t="s">
        <v>134</v>
      </c>
      <c r="I22" s="73" t="s">
        <v>134</v>
      </c>
      <c r="J22" s="73" t="s">
        <v>134</v>
      </c>
      <c r="L22" s="19" t="s">
        <v>125</v>
      </c>
      <c r="M22" s="19"/>
      <c r="N22" s="36" t="s">
        <v>148</v>
      </c>
      <c r="O22" s="39">
        <v>2</v>
      </c>
      <c r="P22" s="55">
        <f t="shared" si="5"/>
        <v>24</v>
      </c>
      <c r="Q22" s="55">
        <f t="shared" si="6"/>
        <v>30</v>
      </c>
      <c r="R22" s="56" t="s">
        <v>130</v>
      </c>
      <c r="S22" s="29">
        <f>COUNTIF($D$4:$J$144,"NEG")</f>
        <v>0</v>
      </c>
      <c r="T22" s="29">
        <f t="shared" si="7"/>
        <v>24</v>
      </c>
    </row>
    <row r="23" spans="1:20">
      <c r="A23" s="24">
        <v>46256</v>
      </c>
      <c r="B23" s="4" t="s">
        <v>24</v>
      </c>
      <c r="C23" s="9">
        <f t="shared" si="8"/>
        <v>17</v>
      </c>
      <c r="D23" s="73"/>
      <c r="E23" s="73"/>
      <c r="F23" s="73" t="s">
        <v>32</v>
      </c>
      <c r="G23" s="18"/>
      <c r="H23" s="73" t="s">
        <v>32</v>
      </c>
      <c r="I23" s="73"/>
      <c r="J23" s="73"/>
      <c r="L23" s="32" t="s">
        <v>92</v>
      </c>
      <c r="M23" s="32"/>
      <c r="N23" s="62" t="s">
        <v>149</v>
      </c>
      <c r="O23" s="39">
        <v>2</v>
      </c>
      <c r="P23" s="55">
        <f t="shared" si="5"/>
        <v>24</v>
      </c>
      <c r="Q23" s="55">
        <f t="shared" si="6"/>
        <v>30</v>
      </c>
      <c r="R23" s="56" t="s">
        <v>70</v>
      </c>
      <c r="S23" s="29">
        <f>COUNTIF($D$4:$J$144,"SHRM")</f>
        <v>0</v>
      </c>
      <c r="T23" s="29">
        <f t="shared" si="7"/>
        <v>24</v>
      </c>
    </row>
    <row r="24" spans="1:20">
      <c r="A24" s="24">
        <v>46257</v>
      </c>
      <c r="B24" s="4" t="s">
        <v>25</v>
      </c>
      <c r="C24" s="9"/>
      <c r="D24" s="21"/>
      <c r="E24" s="21"/>
      <c r="F24" s="22"/>
      <c r="G24" s="6"/>
      <c r="H24" s="22"/>
      <c r="I24" s="21"/>
      <c r="J24" s="75"/>
      <c r="L24" s="19" t="s">
        <v>29</v>
      </c>
      <c r="M24" s="19"/>
      <c r="N24" s="37" t="s">
        <v>150</v>
      </c>
      <c r="O24" s="74">
        <v>2</v>
      </c>
      <c r="P24" s="55">
        <f t="shared" si="5"/>
        <v>24</v>
      </c>
      <c r="Q24" s="55">
        <f t="shared" si="6"/>
        <v>30</v>
      </c>
      <c r="R24" s="56" t="s">
        <v>71</v>
      </c>
      <c r="S24" s="29">
        <f>COUNTIF($D$4:$J$144,"CABA")</f>
        <v>0</v>
      </c>
      <c r="T24" s="29">
        <f t="shared" si="7"/>
        <v>24</v>
      </c>
    </row>
    <row r="25" spans="1:20">
      <c r="A25" s="5"/>
      <c r="D25" s="5"/>
      <c r="E25" s="5"/>
      <c r="F25" s="5"/>
      <c r="G25" s="5"/>
      <c r="H25" s="5"/>
      <c r="I25" s="5"/>
      <c r="J25" s="5"/>
      <c r="L25" s="19" t="s">
        <v>114</v>
      </c>
      <c r="M25" s="19"/>
      <c r="N25" s="37" t="s">
        <v>151</v>
      </c>
      <c r="O25" s="74">
        <v>2</v>
      </c>
      <c r="P25" s="55">
        <f t="shared" si="5"/>
        <v>24</v>
      </c>
      <c r="Q25" s="55">
        <f t="shared" si="6"/>
        <v>30</v>
      </c>
      <c r="R25" s="56" t="s">
        <v>130</v>
      </c>
      <c r="S25" s="29">
        <f>COUNTIF($D$4:$J$144,"DABA")</f>
        <v>0</v>
      </c>
      <c r="T25" s="29">
        <f t="shared" si="7"/>
        <v>24</v>
      </c>
    </row>
    <row r="26" spans="1:20">
      <c r="A26" s="5"/>
      <c r="D26" s="5"/>
      <c r="E26" s="5"/>
      <c r="F26" s="5"/>
      <c r="G26" s="5"/>
      <c r="H26" s="5"/>
      <c r="I26" s="5"/>
      <c r="J26" s="5"/>
      <c r="L26" s="19" t="s">
        <v>179</v>
      </c>
      <c r="M26" s="19"/>
      <c r="N26" s="71" t="s">
        <v>180</v>
      </c>
      <c r="O26" s="74">
        <v>2</v>
      </c>
      <c r="P26" s="55">
        <f t="shared" si="5"/>
        <v>24</v>
      </c>
      <c r="Q26" s="55">
        <f t="shared" si="6"/>
        <v>30</v>
      </c>
      <c r="R26" s="37" t="s">
        <v>201</v>
      </c>
      <c r="S26" s="29">
        <f>COUNTIF($D$4:$J$144,"DABA")</f>
        <v>0</v>
      </c>
      <c r="T26" s="29">
        <f t="shared" si="7"/>
        <v>24</v>
      </c>
    </row>
    <row r="27" spans="1:20">
      <c r="A27" s="5"/>
      <c r="D27" s="5"/>
      <c r="E27" s="5"/>
      <c r="F27" s="5"/>
      <c r="G27" s="5"/>
      <c r="H27" s="5"/>
      <c r="I27" s="5"/>
      <c r="J27" s="5"/>
      <c r="L27" s="19" t="s">
        <v>93</v>
      </c>
      <c r="M27" s="19"/>
      <c r="N27" s="37" t="s">
        <v>152</v>
      </c>
      <c r="O27" s="74">
        <v>2</v>
      </c>
      <c r="P27" s="55">
        <f t="shared" si="5"/>
        <v>24</v>
      </c>
      <c r="Q27" s="55">
        <f t="shared" si="6"/>
        <v>30</v>
      </c>
      <c r="R27" s="56" t="s">
        <v>72</v>
      </c>
      <c r="S27" s="29">
        <f>COUNTIF($D$4:$J$144,"BI")</f>
        <v>3</v>
      </c>
      <c r="T27" s="29">
        <f t="shared" si="7"/>
        <v>21</v>
      </c>
    </row>
    <row r="28" spans="1:20">
      <c r="A28" s="5"/>
      <c r="D28" s="5"/>
      <c r="E28" s="5"/>
      <c r="F28" s="5"/>
      <c r="G28" s="5"/>
      <c r="H28" s="5"/>
      <c r="I28" s="5"/>
      <c r="J28" s="5"/>
      <c r="L28" s="19" t="s">
        <v>94</v>
      </c>
      <c r="M28" s="19"/>
      <c r="N28" s="37" t="s">
        <v>153</v>
      </c>
      <c r="O28" s="74">
        <v>2</v>
      </c>
      <c r="P28" s="55">
        <f t="shared" ref="P28:P40" si="9">Q28/1.25</f>
        <v>24</v>
      </c>
      <c r="Q28" s="55">
        <f t="shared" ref="Q28:Q40" si="10">O28*15</f>
        <v>30</v>
      </c>
      <c r="R28" s="56" t="s">
        <v>73</v>
      </c>
      <c r="S28" s="29">
        <f t="shared" ref="S28:S65" si="11">COUNTIF($D$4:$J$144,"TA")</f>
        <v>0</v>
      </c>
      <c r="T28" s="29">
        <f t="shared" ref="T28:T40" si="12">P28-S28</f>
        <v>24</v>
      </c>
    </row>
    <row r="29" spans="1:20">
      <c r="A29" s="5"/>
      <c r="D29" s="5"/>
      <c r="E29" s="5"/>
      <c r="F29" s="5"/>
      <c r="G29" s="5"/>
      <c r="H29" s="5"/>
      <c r="I29" s="5"/>
      <c r="J29" s="5"/>
      <c r="L29" s="64" t="s">
        <v>115</v>
      </c>
      <c r="M29" s="64"/>
      <c r="N29" s="65" t="s">
        <v>154</v>
      </c>
      <c r="O29" s="39">
        <v>2</v>
      </c>
      <c r="P29" s="55">
        <f t="shared" si="9"/>
        <v>24</v>
      </c>
      <c r="Q29" s="55">
        <f t="shared" si="10"/>
        <v>30</v>
      </c>
      <c r="R29" s="56" t="s">
        <v>131</v>
      </c>
      <c r="S29" s="29">
        <f t="shared" si="11"/>
        <v>0</v>
      </c>
      <c r="T29" s="29">
        <f t="shared" si="12"/>
        <v>24</v>
      </c>
    </row>
    <row r="30" spans="1:20">
      <c r="A30" s="5"/>
      <c r="D30" s="5"/>
      <c r="E30" s="5"/>
      <c r="F30" s="5"/>
      <c r="G30" s="5"/>
      <c r="H30" s="5"/>
      <c r="I30" s="5"/>
      <c r="J30" s="5"/>
      <c r="L30" s="19" t="s">
        <v>118</v>
      </c>
      <c r="M30" s="19"/>
      <c r="N30" s="36" t="s">
        <v>155</v>
      </c>
      <c r="O30" s="39">
        <v>2</v>
      </c>
      <c r="P30" s="55">
        <f t="shared" si="9"/>
        <v>24</v>
      </c>
      <c r="Q30" s="55">
        <f t="shared" si="10"/>
        <v>30</v>
      </c>
      <c r="R30" s="56" t="s">
        <v>63</v>
      </c>
      <c r="S30" s="29">
        <f t="shared" si="11"/>
        <v>0</v>
      </c>
      <c r="T30" s="29">
        <f t="shared" si="12"/>
        <v>24</v>
      </c>
    </row>
    <row r="31" spans="1:20">
      <c r="A31" s="5"/>
      <c r="D31" s="5"/>
      <c r="E31" s="5"/>
      <c r="F31" s="5"/>
      <c r="G31" s="5"/>
      <c r="H31" s="5"/>
      <c r="I31" s="5"/>
      <c r="J31" s="5"/>
      <c r="L31" s="19" t="s">
        <v>95</v>
      </c>
      <c r="M31" s="19"/>
      <c r="N31" s="36" t="s">
        <v>156</v>
      </c>
      <c r="O31" s="39">
        <v>2</v>
      </c>
      <c r="P31" s="55">
        <f t="shared" si="9"/>
        <v>24</v>
      </c>
      <c r="Q31" s="55">
        <f t="shared" si="10"/>
        <v>30</v>
      </c>
      <c r="R31" s="76" t="s">
        <v>189</v>
      </c>
      <c r="S31" s="29">
        <f t="shared" si="11"/>
        <v>0</v>
      </c>
      <c r="T31" s="29">
        <f t="shared" si="12"/>
        <v>24</v>
      </c>
    </row>
    <row r="32" spans="1:20">
      <c r="A32" s="5"/>
      <c r="D32" s="5"/>
      <c r="E32" s="5"/>
      <c r="F32" s="5"/>
      <c r="G32" s="5"/>
      <c r="H32" s="5"/>
      <c r="I32" s="5"/>
      <c r="J32" s="5"/>
      <c r="L32" s="19" t="s">
        <v>126</v>
      </c>
      <c r="M32" s="19"/>
      <c r="N32" s="36" t="s">
        <v>157</v>
      </c>
      <c r="O32" s="39">
        <v>2</v>
      </c>
      <c r="P32" s="55">
        <f t="shared" si="9"/>
        <v>24</v>
      </c>
      <c r="Q32" s="55">
        <f t="shared" si="10"/>
        <v>30</v>
      </c>
      <c r="R32" s="56" t="s">
        <v>59</v>
      </c>
      <c r="S32" s="29">
        <f t="shared" si="11"/>
        <v>0</v>
      </c>
      <c r="T32" s="29">
        <f t="shared" si="12"/>
        <v>24</v>
      </c>
    </row>
    <row r="33" spans="1:20">
      <c r="A33" s="5"/>
      <c r="D33" s="5"/>
      <c r="E33" s="5"/>
      <c r="F33" s="5"/>
      <c r="G33" s="5"/>
      <c r="H33" s="5"/>
      <c r="I33" s="5"/>
      <c r="J33" s="5"/>
      <c r="L33" s="19" t="s">
        <v>116</v>
      </c>
      <c r="M33" s="19"/>
      <c r="N33" s="36" t="s">
        <v>158</v>
      </c>
      <c r="O33" s="39">
        <v>2</v>
      </c>
      <c r="P33" s="55">
        <f t="shared" si="9"/>
        <v>24</v>
      </c>
      <c r="Q33" s="55">
        <f t="shared" si="10"/>
        <v>30</v>
      </c>
      <c r="R33" s="56" t="s">
        <v>60</v>
      </c>
      <c r="S33" s="29">
        <f t="shared" si="11"/>
        <v>0</v>
      </c>
      <c r="T33" s="29">
        <f t="shared" si="12"/>
        <v>24</v>
      </c>
    </row>
    <row r="34" spans="1:20">
      <c r="A34" s="5"/>
      <c r="D34" s="5"/>
      <c r="E34" s="5"/>
      <c r="F34" s="5"/>
      <c r="G34" s="5"/>
      <c r="H34" s="5"/>
      <c r="I34" s="5"/>
      <c r="J34" s="5"/>
      <c r="L34" s="19" t="s">
        <v>96</v>
      </c>
      <c r="M34" s="19"/>
      <c r="N34" s="36" t="s">
        <v>159</v>
      </c>
      <c r="O34" s="39">
        <v>2</v>
      </c>
      <c r="P34" s="55">
        <f t="shared" si="9"/>
        <v>24</v>
      </c>
      <c r="Q34" s="55">
        <f t="shared" si="10"/>
        <v>30</v>
      </c>
      <c r="R34" s="56" t="s">
        <v>27</v>
      </c>
      <c r="S34" s="29">
        <f t="shared" si="11"/>
        <v>0</v>
      </c>
      <c r="T34" s="29">
        <f t="shared" si="12"/>
        <v>24</v>
      </c>
    </row>
    <row r="35" spans="1:20">
      <c r="A35" s="5"/>
      <c r="D35" s="5"/>
      <c r="E35" s="5"/>
      <c r="F35" s="5"/>
      <c r="G35" s="5"/>
      <c r="H35" s="5"/>
      <c r="I35" s="5"/>
      <c r="J35" s="5"/>
      <c r="L35" s="19" t="s">
        <v>119</v>
      </c>
      <c r="M35" s="19"/>
      <c r="N35" s="36" t="s">
        <v>160</v>
      </c>
      <c r="O35" s="39">
        <v>2</v>
      </c>
      <c r="P35" s="55">
        <f t="shared" si="9"/>
        <v>24</v>
      </c>
      <c r="Q35" s="55">
        <f t="shared" si="10"/>
        <v>30</v>
      </c>
      <c r="R35" s="56" t="s">
        <v>30</v>
      </c>
      <c r="S35" s="29">
        <f t="shared" si="11"/>
        <v>0</v>
      </c>
      <c r="T35" s="29">
        <f t="shared" si="12"/>
        <v>24</v>
      </c>
    </row>
    <row r="36" spans="1:20">
      <c r="A36" s="5"/>
      <c r="D36" s="5"/>
      <c r="E36" s="5"/>
      <c r="F36" s="5"/>
      <c r="G36" s="5"/>
      <c r="H36" s="5"/>
      <c r="I36" s="5"/>
      <c r="J36" s="5"/>
      <c r="L36" s="19" t="s">
        <v>26</v>
      </c>
      <c r="M36" s="19"/>
      <c r="N36" s="36" t="s">
        <v>161</v>
      </c>
      <c r="O36" s="39">
        <v>2</v>
      </c>
      <c r="P36" s="55">
        <f t="shared" si="9"/>
        <v>24</v>
      </c>
      <c r="Q36" s="55">
        <f t="shared" si="10"/>
        <v>30</v>
      </c>
      <c r="R36" s="56" t="s">
        <v>69</v>
      </c>
      <c r="S36" s="29">
        <f t="shared" si="11"/>
        <v>0</v>
      </c>
      <c r="T36" s="29">
        <f t="shared" si="12"/>
        <v>24</v>
      </c>
    </row>
    <row r="37" spans="1:20">
      <c r="A37" s="5"/>
      <c r="D37" s="5"/>
      <c r="E37" s="5"/>
      <c r="F37" s="5"/>
      <c r="G37" s="5"/>
      <c r="H37" s="5"/>
      <c r="I37" s="5"/>
      <c r="J37" s="5"/>
      <c r="L37" s="19" t="s">
        <v>97</v>
      </c>
      <c r="M37" s="19"/>
      <c r="N37" s="36" t="s">
        <v>162</v>
      </c>
      <c r="O37" s="39">
        <v>2</v>
      </c>
      <c r="P37" s="55">
        <f t="shared" si="9"/>
        <v>24</v>
      </c>
      <c r="Q37" s="55">
        <f t="shared" si="10"/>
        <v>30</v>
      </c>
      <c r="R37" s="56" t="s">
        <v>74</v>
      </c>
      <c r="S37" s="29">
        <f t="shared" si="11"/>
        <v>0</v>
      </c>
      <c r="T37" s="29">
        <f t="shared" si="12"/>
        <v>24</v>
      </c>
    </row>
    <row r="38" spans="1:20">
      <c r="A38" s="5"/>
      <c r="D38" s="5"/>
      <c r="E38" s="5"/>
      <c r="F38" s="5"/>
      <c r="G38" s="5"/>
      <c r="H38" s="5"/>
      <c r="I38" s="5"/>
      <c r="J38" s="5"/>
      <c r="L38" s="19" t="s">
        <v>98</v>
      </c>
      <c r="M38" s="19"/>
      <c r="N38" s="36" t="s">
        <v>163</v>
      </c>
      <c r="O38" s="39">
        <v>2</v>
      </c>
      <c r="P38" s="55">
        <f t="shared" si="9"/>
        <v>24</v>
      </c>
      <c r="Q38" s="55">
        <f t="shared" si="10"/>
        <v>30</v>
      </c>
      <c r="R38" s="56" t="s">
        <v>75</v>
      </c>
      <c r="S38" s="29">
        <f t="shared" si="11"/>
        <v>0</v>
      </c>
      <c r="T38" s="29">
        <f t="shared" si="12"/>
        <v>24</v>
      </c>
    </row>
    <row r="39" spans="1:20">
      <c r="A39" s="5"/>
      <c r="D39" s="5"/>
      <c r="E39" s="5"/>
      <c r="F39" s="5"/>
      <c r="G39" s="5"/>
      <c r="H39" s="5"/>
      <c r="I39" s="5"/>
      <c r="J39" s="5"/>
      <c r="L39" s="19" t="s">
        <v>28</v>
      </c>
      <c r="M39" s="19"/>
      <c r="N39" s="36" t="s">
        <v>164</v>
      </c>
      <c r="O39" s="39">
        <v>2</v>
      </c>
      <c r="P39" s="55">
        <f t="shared" si="9"/>
        <v>24</v>
      </c>
      <c r="Q39" s="55">
        <f t="shared" si="10"/>
        <v>30</v>
      </c>
      <c r="R39" s="37" t="s">
        <v>185</v>
      </c>
      <c r="S39" s="29">
        <f t="shared" si="11"/>
        <v>0</v>
      </c>
      <c r="T39" s="29">
        <f t="shared" si="12"/>
        <v>24</v>
      </c>
    </row>
    <row r="40" spans="1:20">
      <c r="A40" s="5"/>
      <c r="D40" s="5"/>
      <c r="E40" s="5"/>
      <c r="F40" s="5"/>
      <c r="G40" s="5"/>
      <c r="H40" s="5"/>
      <c r="I40" s="5"/>
      <c r="J40" s="5"/>
      <c r="L40" s="79"/>
      <c r="M40" s="79"/>
      <c r="N40" s="80" t="s">
        <v>204</v>
      </c>
      <c r="O40" s="81">
        <v>2</v>
      </c>
      <c r="P40" s="82">
        <f t="shared" si="9"/>
        <v>24</v>
      </c>
      <c r="Q40" s="82">
        <f t="shared" si="10"/>
        <v>30</v>
      </c>
      <c r="R40" s="83" t="s">
        <v>211</v>
      </c>
      <c r="S40" s="84">
        <f t="shared" si="11"/>
        <v>0</v>
      </c>
      <c r="T40" s="84">
        <f t="shared" si="12"/>
        <v>24</v>
      </c>
    </row>
    <row r="41" spans="1:20">
      <c r="A41" s="5"/>
      <c r="D41" s="5"/>
      <c r="E41" s="5"/>
      <c r="F41" s="5"/>
      <c r="G41" s="5"/>
      <c r="H41" s="5"/>
      <c r="I41" s="5"/>
      <c r="J41" s="5"/>
      <c r="L41" s="19" t="s">
        <v>127</v>
      </c>
      <c r="M41" s="19"/>
      <c r="N41" s="42" t="s">
        <v>165</v>
      </c>
      <c r="O41" s="41">
        <v>2</v>
      </c>
      <c r="P41" s="55">
        <f t="shared" ref="P41:P60" si="13">Q41/1.25</f>
        <v>24</v>
      </c>
      <c r="Q41" s="55">
        <f t="shared" ref="Q41:Q60" si="14">O41*15</f>
        <v>30</v>
      </c>
      <c r="R41" s="56"/>
      <c r="S41" s="29">
        <f t="shared" si="11"/>
        <v>0</v>
      </c>
      <c r="T41" s="29">
        <f t="shared" ref="T41:T60" si="15">P41-S41</f>
        <v>24</v>
      </c>
    </row>
    <row r="42" spans="1:20">
      <c r="A42" s="5"/>
      <c r="D42" s="5"/>
      <c r="E42" s="5"/>
      <c r="F42" s="5"/>
      <c r="G42" s="5"/>
      <c r="H42" s="5"/>
      <c r="I42" s="5"/>
      <c r="J42" s="5"/>
      <c r="L42" s="19" t="s">
        <v>99</v>
      </c>
      <c r="M42" s="19"/>
      <c r="N42" s="42" t="s">
        <v>166</v>
      </c>
      <c r="O42" s="41">
        <v>2</v>
      </c>
      <c r="P42" s="55">
        <f t="shared" si="13"/>
        <v>24</v>
      </c>
      <c r="Q42" s="55">
        <f t="shared" si="14"/>
        <v>30</v>
      </c>
      <c r="R42" s="56"/>
      <c r="S42" s="29">
        <f t="shared" si="11"/>
        <v>0</v>
      </c>
      <c r="T42" s="29">
        <f t="shared" si="15"/>
        <v>24</v>
      </c>
    </row>
    <row r="43" spans="1:20">
      <c r="A43" s="5"/>
      <c r="D43" s="5"/>
      <c r="E43" s="5"/>
      <c r="F43" s="5"/>
      <c r="G43" s="5"/>
      <c r="H43" s="5"/>
      <c r="I43" s="5"/>
      <c r="J43" s="5"/>
      <c r="L43" s="19" t="s">
        <v>100</v>
      </c>
      <c r="M43" s="19"/>
      <c r="N43" s="42" t="s">
        <v>167</v>
      </c>
      <c r="O43" s="41">
        <v>2</v>
      </c>
      <c r="P43" s="55">
        <f t="shared" si="13"/>
        <v>24</v>
      </c>
      <c r="Q43" s="55">
        <f t="shared" si="14"/>
        <v>30</v>
      </c>
      <c r="R43" s="56"/>
      <c r="S43" s="29">
        <f t="shared" si="11"/>
        <v>0</v>
      </c>
      <c r="T43" s="29">
        <f t="shared" si="15"/>
        <v>24</v>
      </c>
    </row>
    <row r="44" spans="1:20">
      <c r="A44" s="5"/>
      <c r="D44" s="5"/>
      <c r="E44" s="5"/>
      <c r="F44" s="5"/>
      <c r="G44" s="5"/>
      <c r="H44" s="5"/>
      <c r="I44" s="5"/>
      <c r="J44" s="5"/>
      <c r="L44" s="19" t="s">
        <v>101</v>
      </c>
      <c r="M44" s="19"/>
      <c r="N44" s="42" t="s">
        <v>168</v>
      </c>
      <c r="O44" s="41">
        <v>2</v>
      </c>
      <c r="P44" s="55">
        <f t="shared" si="13"/>
        <v>24</v>
      </c>
      <c r="Q44" s="55">
        <f t="shared" si="14"/>
        <v>30</v>
      </c>
      <c r="R44" s="56"/>
      <c r="S44" s="29">
        <f t="shared" si="11"/>
        <v>0</v>
      </c>
      <c r="T44" s="29">
        <f t="shared" si="15"/>
        <v>24</v>
      </c>
    </row>
    <row r="45" spans="1:20">
      <c r="A45" s="5"/>
      <c r="D45" s="5"/>
      <c r="E45" s="5"/>
      <c r="F45" s="5"/>
      <c r="G45" s="5"/>
      <c r="H45" s="5"/>
      <c r="I45" s="5"/>
      <c r="J45" s="5"/>
      <c r="L45" s="19" t="s">
        <v>102</v>
      </c>
      <c r="M45" s="19"/>
      <c r="N45" s="42" t="s">
        <v>169</v>
      </c>
      <c r="O45" s="39">
        <v>2</v>
      </c>
      <c r="P45" s="55">
        <f t="shared" si="13"/>
        <v>24</v>
      </c>
      <c r="Q45" s="55">
        <f t="shared" si="14"/>
        <v>30</v>
      </c>
      <c r="R45" s="56" t="s">
        <v>182</v>
      </c>
      <c r="S45" s="29">
        <f t="shared" si="11"/>
        <v>0</v>
      </c>
      <c r="T45" s="29">
        <f t="shared" si="15"/>
        <v>24</v>
      </c>
    </row>
    <row r="46" spans="1:20">
      <c r="A46" s="5"/>
      <c r="D46" s="5"/>
      <c r="E46" s="5"/>
      <c r="F46" s="5"/>
      <c r="G46" s="5"/>
      <c r="H46" s="5"/>
      <c r="I46" s="5"/>
      <c r="J46" s="5"/>
      <c r="L46" s="19" t="s">
        <v>103</v>
      </c>
      <c r="M46" s="19"/>
      <c r="N46" s="42" t="s">
        <v>170</v>
      </c>
      <c r="O46" s="39">
        <v>2</v>
      </c>
      <c r="P46" s="55">
        <f t="shared" si="13"/>
        <v>24</v>
      </c>
      <c r="Q46" s="55">
        <f t="shared" si="14"/>
        <v>30</v>
      </c>
      <c r="R46" s="56" t="s">
        <v>76</v>
      </c>
      <c r="S46" s="29">
        <f t="shared" si="11"/>
        <v>0</v>
      </c>
      <c r="T46" s="29">
        <f t="shared" si="15"/>
        <v>24</v>
      </c>
    </row>
    <row r="47" spans="1:20">
      <c r="A47" s="5"/>
      <c r="D47" s="5"/>
      <c r="E47" s="5"/>
      <c r="F47" s="5"/>
      <c r="G47" s="5"/>
      <c r="H47" s="5"/>
      <c r="I47" s="5"/>
      <c r="J47" s="5"/>
      <c r="L47" s="19" t="s">
        <v>104</v>
      </c>
      <c r="M47" s="19"/>
      <c r="N47" s="36" t="s">
        <v>171</v>
      </c>
      <c r="O47" s="39">
        <v>2</v>
      </c>
      <c r="P47" s="55">
        <f t="shared" si="13"/>
        <v>24</v>
      </c>
      <c r="Q47" s="55">
        <f t="shared" si="14"/>
        <v>30</v>
      </c>
      <c r="R47" s="56" t="s">
        <v>72</v>
      </c>
      <c r="S47" s="29">
        <f t="shared" si="11"/>
        <v>0</v>
      </c>
      <c r="T47" s="29">
        <f t="shared" si="15"/>
        <v>24</v>
      </c>
    </row>
    <row r="48" spans="1:20">
      <c r="A48" s="5"/>
      <c r="D48" s="5"/>
      <c r="E48" s="5"/>
      <c r="F48" s="5"/>
      <c r="G48" s="5"/>
      <c r="H48" s="5"/>
      <c r="I48" s="5"/>
      <c r="J48" s="5"/>
      <c r="L48" s="19" t="s">
        <v>105</v>
      </c>
      <c r="M48" s="19"/>
      <c r="N48" s="36" t="s">
        <v>172</v>
      </c>
      <c r="O48" s="39">
        <v>2</v>
      </c>
      <c r="P48" s="55">
        <f t="shared" si="13"/>
        <v>24</v>
      </c>
      <c r="Q48" s="55">
        <f t="shared" si="14"/>
        <v>30</v>
      </c>
      <c r="R48" s="56" t="s">
        <v>77</v>
      </c>
      <c r="S48" s="29">
        <f t="shared" si="11"/>
        <v>0</v>
      </c>
      <c r="T48" s="29">
        <f t="shared" si="15"/>
        <v>24</v>
      </c>
    </row>
    <row r="49" spans="1:20">
      <c r="A49" s="5"/>
      <c r="D49" s="5"/>
      <c r="E49" s="5"/>
      <c r="F49" s="5"/>
      <c r="G49" s="5"/>
      <c r="H49" s="5"/>
      <c r="I49" s="5"/>
      <c r="J49" s="5"/>
      <c r="L49" s="19" t="s">
        <v>128</v>
      </c>
      <c r="M49" s="19"/>
      <c r="N49" s="36" t="s">
        <v>173</v>
      </c>
      <c r="O49" s="39">
        <v>2</v>
      </c>
      <c r="P49" s="55">
        <f t="shared" si="13"/>
        <v>24</v>
      </c>
      <c r="Q49" s="55">
        <f t="shared" si="14"/>
        <v>30</v>
      </c>
      <c r="R49" s="56" t="s">
        <v>78</v>
      </c>
      <c r="S49" s="29">
        <f t="shared" si="11"/>
        <v>0</v>
      </c>
      <c r="T49" s="29">
        <f t="shared" si="15"/>
        <v>24</v>
      </c>
    </row>
    <row r="50" spans="1:20">
      <c r="A50" s="5"/>
      <c r="D50" s="5"/>
      <c r="E50" s="5"/>
      <c r="F50" s="5"/>
      <c r="G50" s="5"/>
      <c r="H50" s="5"/>
      <c r="I50" s="5"/>
      <c r="J50" s="5"/>
      <c r="L50" s="19"/>
      <c r="M50" s="19"/>
      <c r="N50" s="36" t="s">
        <v>174</v>
      </c>
      <c r="O50" s="39">
        <v>2</v>
      </c>
      <c r="P50" s="55">
        <f t="shared" si="13"/>
        <v>24</v>
      </c>
      <c r="Q50" s="55">
        <f t="shared" si="14"/>
        <v>30</v>
      </c>
      <c r="R50" s="56" t="s">
        <v>79</v>
      </c>
      <c r="S50" s="29">
        <f t="shared" si="11"/>
        <v>0</v>
      </c>
      <c r="T50" s="29">
        <f t="shared" si="15"/>
        <v>24</v>
      </c>
    </row>
    <row r="51" spans="1:20">
      <c r="A51" s="5"/>
      <c r="D51" s="5"/>
      <c r="E51" s="5"/>
      <c r="F51" s="5"/>
      <c r="G51" s="5"/>
      <c r="H51" s="5"/>
      <c r="I51" s="5"/>
      <c r="J51" s="5"/>
      <c r="L51" s="32"/>
      <c r="M51" s="32" t="s">
        <v>57</v>
      </c>
      <c r="N51" s="43" t="s">
        <v>45</v>
      </c>
      <c r="O51" s="44">
        <v>3</v>
      </c>
      <c r="P51" s="57">
        <f t="shared" si="13"/>
        <v>36</v>
      </c>
      <c r="Q51" s="57">
        <f t="shared" si="14"/>
        <v>45</v>
      </c>
      <c r="R51" s="38" t="s">
        <v>58</v>
      </c>
      <c r="S51" s="30">
        <f t="shared" si="11"/>
        <v>0</v>
      </c>
      <c r="T51" s="30">
        <f t="shared" si="15"/>
        <v>36</v>
      </c>
    </row>
    <row r="52" spans="1:20">
      <c r="A52" s="5"/>
      <c r="D52" s="5"/>
      <c r="E52" s="5"/>
      <c r="F52" s="5"/>
      <c r="G52" s="5"/>
      <c r="H52" s="5"/>
      <c r="I52" s="5"/>
      <c r="J52" s="5"/>
      <c r="L52" s="19"/>
      <c r="M52" s="19" t="s">
        <v>57</v>
      </c>
      <c r="N52" s="45" t="s">
        <v>56</v>
      </c>
      <c r="O52" s="46">
        <v>4</v>
      </c>
      <c r="P52" s="55">
        <f t="shared" si="13"/>
        <v>48</v>
      </c>
      <c r="Q52" s="55">
        <f t="shared" si="14"/>
        <v>60</v>
      </c>
      <c r="R52" s="38"/>
      <c r="S52" s="29">
        <f t="shared" si="11"/>
        <v>0</v>
      </c>
      <c r="T52" s="29">
        <f t="shared" si="15"/>
        <v>48</v>
      </c>
    </row>
    <row r="53" spans="1:20">
      <c r="A53" s="5"/>
      <c r="D53" s="5"/>
      <c r="E53" s="5"/>
      <c r="F53" s="5"/>
      <c r="G53" s="5"/>
      <c r="H53" s="5"/>
      <c r="I53" s="5"/>
      <c r="J53" s="5"/>
      <c r="L53" s="19" t="s">
        <v>126</v>
      </c>
      <c r="M53" s="19" t="s">
        <v>57</v>
      </c>
      <c r="N53" s="47" t="s">
        <v>39</v>
      </c>
      <c r="O53" s="46">
        <v>3</v>
      </c>
      <c r="P53" s="55">
        <f t="shared" si="13"/>
        <v>36</v>
      </c>
      <c r="Q53" s="55">
        <f t="shared" si="14"/>
        <v>45</v>
      </c>
      <c r="R53" s="38" t="s">
        <v>59</v>
      </c>
      <c r="S53" s="29">
        <f t="shared" si="11"/>
        <v>0</v>
      </c>
      <c r="T53" s="29">
        <f t="shared" si="15"/>
        <v>36</v>
      </c>
    </row>
    <row r="54" spans="1:20">
      <c r="A54" s="5"/>
      <c r="D54" s="5"/>
      <c r="E54" s="5"/>
      <c r="F54" s="5"/>
      <c r="G54" s="5"/>
      <c r="H54" s="5"/>
      <c r="I54" s="5"/>
      <c r="J54" s="5"/>
      <c r="L54" s="19" t="s">
        <v>116</v>
      </c>
      <c r="M54" s="19" t="s">
        <v>57</v>
      </c>
      <c r="N54" s="47" t="s">
        <v>40</v>
      </c>
      <c r="O54" s="46">
        <v>3</v>
      </c>
      <c r="P54" s="55">
        <f t="shared" si="13"/>
        <v>36</v>
      </c>
      <c r="Q54" s="55">
        <f t="shared" si="14"/>
        <v>45</v>
      </c>
      <c r="R54" s="38" t="s">
        <v>60</v>
      </c>
      <c r="S54" s="29">
        <f t="shared" si="11"/>
        <v>0</v>
      </c>
      <c r="T54" s="29">
        <f t="shared" si="15"/>
        <v>36</v>
      </c>
    </row>
    <row r="55" spans="1:20">
      <c r="A55" s="5"/>
      <c r="D55" s="5"/>
      <c r="E55" s="5"/>
      <c r="F55" s="5"/>
      <c r="G55" s="5"/>
      <c r="H55" s="5"/>
      <c r="I55" s="5"/>
      <c r="J55" s="5"/>
      <c r="L55" s="19" t="s">
        <v>106</v>
      </c>
      <c r="M55" s="19" t="s">
        <v>57</v>
      </c>
      <c r="N55" s="47" t="s">
        <v>46</v>
      </c>
      <c r="O55" s="46">
        <v>3</v>
      </c>
      <c r="P55" s="55">
        <f t="shared" si="13"/>
        <v>36</v>
      </c>
      <c r="Q55" s="55">
        <f t="shared" si="14"/>
        <v>45</v>
      </c>
      <c r="R55" s="38" t="s">
        <v>61</v>
      </c>
      <c r="S55" s="29">
        <f t="shared" si="11"/>
        <v>0</v>
      </c>
      <c r="T55" s="29">
        <f t="shared" si="15"/>
        <v>36</v>
      </c>
    </row>
    <row r="56" spans="1:20">
      <c r="A56" s="5"/>
      <c r="D56" s="5"/>
      <c r="E56" s="5"/>
      <c r="F56" s="5"/>
      <c r="G56" s="5"/>
      <c r="H56" s="5"/>
      <c r="I56" s="5"/>
      <c r="J56" s="5"/>
      <c r="L56" s="19" t="s">
        <v>107</v>
      </c>
      <c r="M56" s="19" t="s">
        <v>57</v>
      </c>
      <c r="N56" s="47" t="s">
        <v>47</v>
      </c>
      <c r="O56" s="46">
        <v>3</v>
      </c>
      <c r="P56" s="55">
        <f t="shared" si="13"/>
        <v>36</v>
      </c>
      <c r="Q56" s="55">
        <f t="shared" si="14"/>
        <v>45</v>
      </c>
      <c r="R56" s="38" t="s">
        <v>61</v>
      </c>
      <c r="S56" s="29">
        <f t="shared" si="11"/>
        <v>0</v>
      </c>
      <c r="T56" s="29">
        <f t="shared" si="15"/>
        <v>36</v>
      </c>
    </row>
    <row r="57" spans="1:20">
      <c r="A57" s="5"/>
      <c r="D57" s="5"/>
      <c r="E57" s="5"/>
      <c r="F57" s="5"/>
      <c r="G57" s="5"/>
      <c r="H57" s="5"/>
      <c r="I57" s="5"/>
      <c r="J57" s="5"/>
      <c r="L57" s="19" t="s">
        <v>108</v>
      </c>
      <c r="M57" s="19" t="s">
        <v>57</v>
      </c>
      <c r="N57" s="45" t="s">
        <v>48</v>
      </c>
      <c r="O57" s="46">
        <v>3</v>
      </c>
      <c r="P57" s="55">
        <f t="shared" si="13"/>
        <v>36</v>
      </c>
      <c r="Q57" s="55">
        <f t="shared" si="14"/>
        <v>45</v>
      </c>
      <c r="R57" s="38" t="s">
        <v>62</v>
      </c>
      <c r="S57" s="29">
        <f t="shared" si="11"/>
        <v>0</v>
      </c>
      <c r="T57" s="29">
        <f t="shared" si="15"/>
        <v>36</v>
      </c>
    </row>
    <row r="58" spans="1:20">
      <c r="A58" s="5"/>
      <c r="D58" s="5"/>
      <c r="E58" s="5"/>
      <c r="F58" s="5"/>
      <c r="G58" s="5"/>
      <c r="H58" s="5"/>
      <c r="I58" s="5"/>
      <c r="J58" s="5"/>
      <c r="L58" s="19" t="s">
        <v>118</v>
      </c>
      <c r="M58" s="19" t="s">
        <v>57</v>
      </c>
      <c r="N58" s="45" t="s">
        <v>38</v>
      </c>
      <c r="O58" s="46">
        <v>3</v>
      </c>
      <c r="P58" s="55">
        <f t="shared" si="13"/>
        <v>36</v>
      </c>
      <c r="Q58" s="55">
        <f t="shared" si="14"/>
        <v>45</v>
      </c>
      <c r="R58" s="38" t="s">
        <v>63</v>
      </c>
      <c r="S58" s="29">
        <f t="shared" si="11"/>
        <v>0</v>
      </c>
      <c r="T58" s="29">
        <f t="shared" si="15"/>
        <v>36</v>
      </c>
    </row>
    <row r="59" spans="1:20">
      <c r="A59" s="5"/>
      <c r="D59" s="5"/>
      <c r="E59" s="5"/>
      <c r="F59" s="5"/>
      <c r="G59" s="5"/>
      <c r="H59" s="5"/>
      <c r="I59" s="5"/>
      <c r="J59" s="5"/>
      <c r="L59" s="19" t="s">
        <v>115</v>
      </c>
      <c r="M59" s="19" t="s">
        <v>57</v>
      </c>
      <c r="N59" s="45" t="s">
        <v>37</v>
      </c>
      <c r="O59" s="46">
        <v>3</v>
      </c>
      <c r="P59" s="55">
        <f t="shared" si="13"/>
        <v>36</v>
      </c>
      <c r="Q59" s="55">
        <f t="shared" si="14"/>
        <v>45</v>
      </c>
      <c r="R59" s="38" t="s">
        <v>131</v>
      </c>
      <c r="S59" s="29">
        <f t="shared" si="11"/>
        <v>0</v>
      </c>
      <c r="T59" s="29">
        <f t="shared" si="15"/>
        <v>36</v>
      </c>
    </row>
    <row r="60" spans="1:20">
      <c r="A60" s="5"/>
      <c r="D60" s="5"/>
      <c r="E60" s="5"/>
      <c r="F60" s="5"/>
      <c r="G60" s="5"/>
      <c r="H60" s="5"/>
      <c r="I60" s="5"/>
      <c r="J60" s="5"/>
      <c r="L60" s="19" t="s">
        <v>109</v>
      </c>
      <c r="M60" s="19" t="s">
        <v>57</v>
      </c>
      <c r="N60" s="45" t="s">
        <v>49</v>
      </c>
      <c r="O60" s="46">
        <v>3</v>
      </c>
      <c r="P60" s="55">
        <f t="shared" si="13"/>
        <v>36</v>
      </c>
      <c r="Q60" s="55">
        <f t="shared" si="14"/>
        <v>45</v>
      </c>
      <c r="R60" s="38" t="s">
        <v>61</v>
      </c>
      <c r="S60" s="29">
        <f t="shared" si="11"/>
        <v>0</v>
      </c>
      <c r="T60" s="29">
        <f t="shared" si="15"/>
        <v>36</v>
      </c>
    </row>
    <row r="61" spans="1:20">
      <c r="A61" s="5"/>
      <c r="D61" s="5"/>
      <c r="E61" s="5"/>
      <c r="F61" s="5"/>
      <c r="G61" s="5"/>
      <c r="H61" s="5"/>
      <c r="I61" s="5"/>
      <c r="J61" s="5"/>
      <c r="L61" s="19" t="s">
        <v>110</v>
      </c>
      <c r="M61" s="19" t="s">
        <v>57</v>
      </c>
      <c r="N61" s="47" t="s">
        <v>50</v>
      </c>
      <c r="O61" s="46">
        <v>3</v>
      </c>
      <c r="P61" s="55">
        <f t="shared" ref="P61:P65" si="16">Q61/1.25</f>
        <v>36</v>
      </c>
      <c r="Q61" s="55">
        <f t="shared" ref="Q61:Q65" si="17">O61*15</f>
        <v>45</v>
      </c>
      <c r="R61" s="38" t="s">
        <v>60</v>
      </c>
      <c r="S61" s="29">
        <f t="shared" si="11"/>
        <v>0</v>
      </c>
      <c r="T61" s="29">
        <f t="shared" ref="T61:T65" si="18">P61-S61</f>
        <v>36</v>
      </c>
    </row>
    <row r="62" spans="1:20">
      <c r="A62" s="5"/>
      <c r="D62" s="5"/>
      <c r="E62" s="5"/>
      <c r="F62" s="5"/>
      <c r="G62" s="5"/>
      <c r="H62" s="5"/>
      <c r="I62" s="5"/>
      <c r="J62" s="5"/>
      <c r="L62" s="19" t="s">
        <v>111</v>
      </c>
      <c r="M62" s="19" t="s">
        <v>57</v>
      </c>
      <c r="N62" s="47" t="s">
        <v>51</v>
      </c>
      <c r="O62" s="46">
        <v>3</v>
      </c>
      <c r="P62" s="55">
        <f t="shared" si="16"/>
        <v>36</v>
      </c>
      <c r="Q62" s="55">
        <f t="shared" si="17"/>
        <v>45</v>
      </c>
      <c r="R62" s="58" t="s">
        <v>64</v>
      </c>
      <c r="S62" s="29">
        <f t="shared" si="11"/>
        <v>0</v>
      </c>
      <c r="T62" s="29">
        <f t="shared" si="18"/>
        <v>36</v>
      </c>
    </row>
    <row r="63" spans="1:20">
      <c r="A63" s="5"/>
      <c r="D63" s="5"/>
      <c r="E63" s="5"/>
      <c r="F63" s="5"/>
      <c r="G63" s="5"/>
      <c r="H63" s="5"/>
      <c r="I63" s="5"/>
      <c r="J63" s="5"/>
      <c r="L63" s="19" t="s">
        <v>112</v>
      </c>
      <c r="M63" s="19" t="s">
        <v>57</v>
      </c>
      <c r="N63" s="47" t="s">
        <v>52</v>
      </c>
      <c r="O63" s="48">
        <v>3</v>
      </c>
      <c r="P63" s="55">
        <f t="shared" si="16"/>
        <v>36</v>
      </c>
      <c r="Q63" s="55">
        <f t="shared" si="17"/>
        <v>45</v>
      </c>
      <c r="R63" s="59" t="s">
        <v>64</v>
      </c>
      <c r="S63" s="29">
        <f t="shared" si="11"/>
        <v>0</v>
      </c>
      <c r="T63" s="29">
        <f t="shared" si="18"/>
        <v>36</v>
      </c>
    </row>
    <row r="64" spans="1:20">
      <c r="A64" s="5"/>
      <c r="D64" s="5"/>
      <c r="E64" s="5"/>
      <c r="F64" s="5"/>
      <c r="G64" s="5"/>
      <c r="H64" s="5"/>
      <c r="I64" s="5"/>
      <c r="J64" s="5"/>
      <c r="L64" s="19" t="s">
        <v>113</v>
      </c>
      <c r="M64" s="19" t="s">
        <v>57</v>
      </c>
      <c r="N64" s="45" t="s">
        <v>53</v>
      </c>
      <c r="O64" s="46">
        <v>3</v>
      </c>
      <c r="P64" s="55">
        <f t="shared" si="16"/>
        <v>36</v>
      </c>
      <c r="Q64" s="55">
        <f t="shared" si="17"/>
        <v>45</v>
      </c>
      <c r="R64" s="38" t="s">
        <v>132</v>
      </c>
      <c r="S64" s="29">
        <f t="shared" si="11"/>
        <v>0</v>
      </c>
      <c r="T64" s="29">
        <f t="shared" si="18"/>
        <v>36</v>
      </c>
    </row>
    <row r="65" spans="1:20">
      <c r="A65" s="5"/>
      <c r="D65" s="5"/>
      <c r="E65" s="5"/>
      <c r="F65" s="5"/>
      <c r="G65" s="5"/>
      <c r="H65" s="5"/>
      <c r="I65" s="5"/>
      <c r="J65" s="5"/>
      <c r="L65" s="19" t="s">
        <v>103</v>
      </c>
      <c r="M65" s="19" t="s">
        <v>57</v>
      </c>
      <c r="N65" s="45" t="s">
        <v>54</v>
      </c>
      <c r="O65" s="46">
        <v>3</v>
      </c>
      <c r="P65" s="55">
        <f t="shared" si="16"/>
        <v>36</v>
      </c>
      <c r="Q65" s="55">
        <f t="shared" si="17"/>
        <v>45</v>
      </c>
      <c r="R65" s="38" t="s">
        <v>133</v>
      </c>
      <c r="S65" s="29">
        <f t="shared" si="11"/>
        <v>0</v>
      </c>
      <c r="T65" s="29">
        <f t="shared" si="18"/>
        <v>36</v>
      </c>
    </row>
    <row r="66" spans="1:20">
      <c r="A66" s="5"/>
      <c r="D66" s="5"/>
      <c r="E66" s="5"/>
      <c r="F66" s="5"/>
      <c r="G66" s="5"/>
      <c r="H66" s="5"/>
      <c r="I66" s="5"/>
      <c r="J66" s="5"/>
      <c r="L66" s="49"/>
      <c r="M66" s="49"/>
      <c r="O66" s="51"/>
      <c r="P66" s="52"/>
      <c r="Q66" s="52"/>
      <c r="R66" s="50"/>
      <c r="S66" s="52"/>
      <c r="T66" s="52"/>
    </row>
    <row r="67" spans="1:20">
      <c r="A67" s="5"/>
      <c r="D67" s="5"/>
      <c r="E67" s="5"/>
      <c r="F67" s="5"/>
      <c r="G67" s="5"/>
      <c r="H67" s="5"/>
      <c r="I67" s="5"/>
      <c r="J67" s="5"/>
      <c r="L67" s="19"/>
      <c r="M67" s="60"/>
      <c r="N67" s="60" t="s">
        <v>31</v>
      </c>
      <c r="O67" s="60">
        <f>SUM(O3:O65)</f>
        <v>141</v>
      </c>
      <c r="P67" s="60">
        <f>SUM(P3:P65)</f>
        <v>1692</v>
      </c>
      <c r="Q67" s="60">
        <f>SUM(Q3:Q65)</f>
        <v>2115</v>
      </c>
      <c r="R67" s="60"/>
      <c r="S67" s="60">
        <f>SUM(S3:S65)</f>
        <v>22</v>
      </c>
      <c r="T67" s="60">
        <f>SUM(T3:T65)</f>
        <v>1670</v>
      </c>
    </row>
    <row r="68" spans="1:20">
      <c r="A68" s="5"/>
      <c r="D68" s="5"/>
      <c r="E68" s="5"/>
      <c r="F68" s="5"/>
      <c r="G68" s="5"/>
      <c r="H68" s="5"/>
      <c r="I68" s="5"/>
      <c r="J68" s="5"/>
      <c r="L68" s="2"/>
      <c r="M68" s="2"/>
      <c r="N68" s="2"/>
      <c r="O68" s="2"/>
      <c r="R68" s="2"/>
    </row>
    <row r="69" spans="1:20">
      <c r="A69" s="5"/>
      <c r="D69" s="5"/>
      <c r="E69" s="5"/>
      <c r="F69" s="5"/>
      <c r="G69" s="5"/>
      <c r="H69" s="5"/>
      <c r="I69" s="5"/>
      <c r="J69" s="5"/>
      <c r="L69" s="2"/>
      <c r="M69" s="2"/>
      <c r="N69" s="2"/>
      <c r="O69" s="2"/>
      <c r="R69" s="2"/>
    </row>
    <row r="70" spans="1:20">
      <c r="A70" s="5"/>
      <c r="D70" s="5"/>
      <c r="E70" s="5"/>
      <c r="F70" s="5"/>
      <c r="G70" s="5"/>
      <c r="H70" s="5"/>
      <c r="I70" s="5"/>
      <c r="J70" s="5"/>
      <c r="L70" s="49"/>
      <c r="M70" s="49"/>
      <c r="O70" s="51"/>
      <c r="P70" s="52"/>
      <c r="Q70" s="52"/>
      <c r="R70" s="50"/>
      <c r="S70" s="52"/>
      <c r="T70" s="52"/>
    </row>
    <row r="71" spans="1:20">
      <c r="A71" s="5"/>
      <c r="D71" s="5"/>
      <c r="E71" s="5"/>
      <c r="F71" s="5"/>
      <c r="G71" s="5"/>
      <c r="H71" s="5"/>
      <c r="I71" s="5"/>
      <c r="J71" s="5"/>
      <c r="L71" s="49"/>
      <c r="M71" s="49"/>
      <c r="O71" s="51"/>
      <c r="P71" s="52"/>
      <c r="Q71" s="52"/>
      <c r="R71" s="50"/>
      <c r="S71" s="52"/>
      <c r="T71" s="52"/>
    </row>
    <row r="72" spans="1:20">
      <c r="A72" s="5"/>
      <c r="D72" s="5"/>
      <c r="E72" s="5"/>
      <c r="F72" s="5"/>
      <c r="G72" s="5"/>
      <c r="H72" s="5"/>
      <c r="I72" s="5"/>
      <c r="J72" s="5"/>
      <c r="L72" s="49"/>
      <c r="M72" s="49"/>
      <c r="O72" s="51"/>
      <c r="P72" s="52"/>
      <c r="Q72" s="52"/>
      <c r="R72" s="50"/>
      <c r="S72" s="52"/>
      <c r="T72" s="52"/>
    </row>
    <row r="73" spans="1:20">
      <c r="A73" s="5"/>
      <c r="D73" s="5"/>
      <c r="E73" s="5"/>
      <c r="F73" s="5"/>
      <c r="G73" s="5"/>
      <c r="H73" s="5"/>
      <c r="I73" s="5"/>
      <c r="J73" s="5"/>
      <c r="L73" s="49"/>
      <c r="M73" s="49"/>
      <c r="O73" s="51"/>
      <c r="P73" s="52"/>
      <c r="Q73" s="52"/>
      <c r="R73" s="50"/>
      <c r="S73" s="52"/>
      <c r="T73" s="52"/>
    </row>
    <row r="74" spans="1:20">
      <c r="A74" s="5"/>
      <c r="D74" s="5"/>
      <c r="E74" s="5"/>
      <c r="F74" s="5"/>
      <c r="G74" s="5"/>
      <c r="H74" s="5"/>
      <c r="I74" s="5"/>
      <c r="J74" s="5"/>
      <c r="L74" s="49"/>
      <c r="M74" s="49"/>
      <c r="O74" s="51"/>
      <c r="P74" s="52"/>
      <c r="Q74" s="52"/>
      <c r="R74" s="50"/>
      <c r="S74" s="52"/>
      <c r="T74" s="52"/>
    </row>
    <row r="75" spans="1:20">
      <c r="A75" s="5"/>
      <c r="D75" s="5"/>
      <c r="E75" s="5"/>
      <c r="F75" s="5"/>
      <c r="G75" s="5"/>
      <c r="H75" s="5"/>
      <c r="I75" s="5"/>
      <c r="J75" s="5"/>
      <c r="L75" s="49"/>
      <c r="M75" s="49"/>
      <c r="O75" s="51"/>
      <c r="P75" s="52"/>
      <c r="Q75" s="52"/>
      <c r="R75" s="50"/>
      <c r="S75" s="52"/>
      <c r="T75" s="52"/>
    </row>
    <row r="76" spans="1:20">
      <c r="A76" s="5"/>
      <c r="D76" s="5"/>
      <c r="E76" s="5"/>
      <c r="F76" s="5"/>
      <c r="G76" s="5"/>
      <c r="H76" s="5"/>
      <c r="I76" s="5"/>
      <c r="J76" s="5"/>
      <c r="L76" s="49"/>
      <c r="M76" s="49"/>
      <c r="O76" s="51"/>
      <c r="P76" s="52"/>
      <c r="Q76" s="52"/>
      <c r="R76" s="50"/>
      <c r="S76" s="52"/>
      <c r="T76" s="52"/>
    </row>
    <row r="77" spans="1:20">
      <c r="A77" s="5"/>
      <c r="D77" s="5"/>
      <c r="E77" s="5"/>
      <c r="F77" s="5"/>
      <c r="G77" s="5"/>
      <c r="H77" s="5"/>
      <c r="I77" s="5"/>
      <c r="J77" s="5"/>
      <c r="L77" s="49"/>
      <c r="M77" s="49"/>
      <c r="O77" s="51"/>
      <c r="P77" s="52"/>
      <c r="Q77" s="52"/>
      <c r="R77" s="50"/>
      <c r="S77" s="52"/>
      <c r="T77" s="52"/>
    </row>
    <row r="78" spans="1:20">
      <c r="A78" s="5"/>
      <c r="D78" s="5"/>
      <c r="E78" s="5"/>
      <c r="F78" s="5"/>
      <c r="G78" s="5"/>
      <c r="H78" s="5"/>
      <c r="I78" s="5"/>
      <c r="J78" s="5"/>
      <c r="L78" s="49"/>
      <c r="M78" s="49"/>
      <c r="O78" s="51"/>
      <c r="P78" s="52"/>
      <c r="Q78" s="52"/>
      <c r="R78" s="50"/>
      <c r="S78" s="52"/>
      <c r="T78" s="52"/>
    </row>
    <row r="79" spans="1:20">
      <c r="A79" s="5"/>
      <c r="D79" s="5"/>
      <c r="E79" s="5"/>
      <c r="F79" s="5"/>
      <c r="G79" s="5"/>
      <c r="H79" s="5"/>
      <c r="I79" s="5"/>
      <c r="J79" s="5"/>
      <c r="L79" s="49"/>
      <c r="M79" s="49"/>
      <c r="O79" s="51"/>
      <c r="P79" s="52"/>
      <c r="Q79" s="52"/>
      <c r="R79" s="50"/>
      <c r="S79" s="52"/>
      <c r="T79" s="52"/>
    </row>
    <row r="80" spans="1:20">
      <c r="A80" s="5"/>
      <c r="D80" s="5"/>
      <c r="E80" s="5"/>
      <c r="F80" s="5"/>
      <c r="G80" s="5"/>
      <c r="H80" s="5"/>
      <c r="I80" s="5"/>
      <c r="J80" s="5"/>
      <c r="L80" s="49"/>
      <c r="M80" s="49"/>
      <c r="O80" s="51"/>
      <c r="P80" s="52"/>
      <c r="Q80" s="52"/>
      <c r="R80" s="50"/>
      <c r="S80" s="52"/>
      <c r="T80" s="52"/>
    </row>
    <row r="81" spans="1:20">
      <c r="A81" s="5"/>
      <c r="D81" s="5"/>
      <c r="E81" s="5"/>
      <c r="F81" s="5"/>
      <c r="G81" s="5"/>
      <c r="H81" s="5"/>
      <c r="I81" s="5"/>
      <c r="J81" s="5"/>
      <c r="L81" s="49"/>
      <c r="M81" s="49"/>
      <c r="O81" s="51"/>
      <c r="P81" s="52"/>
      <c r="Q81" s="52"/>
      <c r="R81" s="50"/>
      <c r="S81" s="52"/>
      <c r="T81" s="52"/>
    </row>
    <row r="82" spans="1:20">
      <c r="A82" s="5"/>
      <c r="D82" s="5"/>
      <c r="E82" s="5"/>
      <c r="F82" s="5"/>
      <c r="G82" s="5"/>
      <c r="H82" s="5"/>
      <c r="I82" s="5"/>
      <c r="J82" s="5"/>
      <c r="L82" s="49"/>
      <c r="M82" s="49"/>
      <c r="O82" s="51"/>
      <c r="P82" s="52"/>
      <c r="Q82" s="52"/>
      <c r="R82" s="50"/>
      <c r="S82" s="52"/>
      <c r="T82" s="52"/>
    </row>
    <row r="83" spans="1:20">
      <c r="A83" s="5"/>
      <c r="D83" s="5"/>
      <c r="E83" s="5"/>
      <c r="F83" s="5"/>
      <c r="G83" s="5"/>
      <c r="H83" s="5"/>
      <c r="I83" s="5"/>
      <c r="J83" s="5"/>
      <c r="L83" s="49"/>
      <c r="M83" s="49"/>
      <c r="O83" s="51"/>
      <c r="P83" s="52"/>
      <c r="Q83" s="52"/>
      <c r="R83" s="50"/>
      <c r="S83" s="52"/>
      <c r="T83" s="52"/>
    </row>
    <row r="84" spans="1:20">
      <c r="A84" s="5"/>
      <c r="D84" s="5"/>
      <c r="E84" s="5"/>
      <c r="F84" s="5"/>
      <c r="G84" s="5"/>
      <c r="H84" s="5"/>
      <c r="I84" s="5"/>
      <c r="J84" s="5"/>
      <c r="L84" s="49"/>
      <c r="M84" s="49"/>
      <c r="O84" s="51"/>
      <c r="P84" s="52"/>
      <c r="Q84" s="52"/>
      <c r="R84" s="50"/>
      <c r="S84" s="52"/>
      <c r="T84" s="52"/>
    </row>
    <row r="85" spans="1:20">
      <c r="A85" s="5"/>
      <c r="D85" s="5"/>
      <c r="E85" s="5"/>
      <c r="F85" s="5"/>
      <c r="G85" s="5"/>
      <c r="H85" s="5"/>
      <c r="I85" s="5"/>
      <c r="J85" s="5"/>
      <c r="L85" s="49"/>
      <c r="M85" s="49"/>
      <c r="O85" s="51"/>
      <c r="P85" s="52"/>
      <c r="Q85" s="52"/>
      <c r="R85" s="50"/>
      <c r="S85" s="52"/>
      <c r="T85" s="52"/>
    </row>
    <row r="86" spans="1:20">
      <c r="A86" s="5"/>
      <c r="D86" s="5"/>
      <c r="E86" s="5"/>
      <c r="F86" s="5"/>
      <c r="G86" s="5"/>
      <c r="H86" s="5"/>
      <c r="I86" s="5"/>
      <c r="J86" s="5"/>
      <c r="L86" s="49"/>
      <c r="M86" s="49"/>
      <c r="O86" s="51"/>
      <c r="P86" s="52"/>
      <c r="Q86" s="52"/>
      <c r="R86" s="50"/>
      <c r="S86" s="52"/>
      <c r="T86" s="52"/>
    </row>
    <row r="87" spans="1:20">
      <c r="A87" s="5"/>
      <c r="D87" s="5"/>
      <c r="E87" s="5"/>
      <c r="F87" s="5"/>
      <c r="G87" s="5"/>
      <c r="H87" s="5"/>
      <c r="I87" s="5"/>
      <c r="J87" s="5"/>
      <c r="L87" s="49"/>
      <c r="M87" s="49"/>
      <c r="O87" s="51"/>
      <c r="P87" s="52"/>
      <c r="Q87" s="52"/>
      <c r="R87" s="50"/>
      <c r="S87" s="52"/>
      <c r="T87" s="52"/>
    </row>
    <row r="88" spans="1:20">
      <c r="A88" s="5"/>
      <c r="D88" s="5"/>
      <c r="E88" s="5"/>
      <c r="F88" s="5"/>
      <c r="G88" s="5"/>
      <c r="H88" s="5"/>
      <c r="I88" s="5"/>
      <c r="J88" s="5"/>
      <c r="L88" s="49"/>
      <c r="M88" s="49"/>
      <c r="O88" s="51"/>
      <c r="P88" s="52"/>
      <c r="Q88" s="52"/>
      <c r="R88" s="50"/>
      <c r="S88" s="52"/>
      <c r="T88" s="52"/>
    </row>
    <row r="89" spans="1:20">
      <c r="A89" s="5"/>
      <c r="D89" s="5"/>
      <c r="E89" s="5"/>
      <c r="F89" s="5"/>
      <c r="G89" s="5"/>
      <c r="H89" s="5"/>
      <c r="I89" s="5"/>
      <c r="J89" s="5"/>
      <c r="L89" s="49"/>
      <c r="M89" s="49"/>
      <c r="O89" s="51"/>
      <c r="P89" s="52"/>
      <c r="Q89" s="52"/>
      <c r="R89" s="50"/>
      <c r="S89" s="52"/>
      <c r="T89" s="52"/>
    </row>
    <row r="90" spans="1:20">
      <c r="A90" s="5"/>
      <c r="D90" s="5"/>
      <c r="E90" s="5"/>
      <c r="F90" s="5"/>
      <c r="G90" s="5"/>
      <c r="H90" s="5"/>
      <c r="I90" s="5"/>
      <c r="J90" s="5"/>
      <c r="L90" s="49"/>
      <c r="M90" s="49"/>
      <c r="O90" s="51"/>
      <c r="P90" s="52"/>
      <c r="Q90" s="52"/>
      <c r="R90" s="50"/>
      <c r="S90" s="52"/>
      <c r="T90" s="52"/>
    </row>
    <row r="91" spans="1:20">
      <c r="A91" s="5"/>
      <c r="D91" s="5"/>
      <c r="E91" s="5"/>
      <c r="F91" s="5"/>
      <c r="G91" s="5"/>
      <c r="H91" s="5"/>
      <c r="I91" s="5"/>
      <c r="J91" s="5"/>
      <c r="L91" s="49"/>
      <c r="M91" s="49"/>
      <c r="O91" s="51"/>
      <c r="P91" s="52"/>
      <c r="Q91" s="52"/>
      <c r="R91" s="50"/>
      <c r="S91" s="52"/>
      <c r="T91" s="52"/>
    </row>
    <row r="92" spans="1:20">
      <c r="A92" s="5"/>
      <c r="D92" s="5"/>
      <c r="E92" s="5"/>
      <c r="F92" s="5"/>
      <c r="G92" s="5"/>
      <c r="H92" s="5"/>
      <c r="I92" s="5"/>
      <c r="J92" s="5"/>
      <c r="L92" s="49"/>
      <c r="M92" s="49"/>
      <c r="O92" s="51"/>
      <c r="P92" s="52"/>
      <c r="Q92" s="52"/>
      <c r="R92" s="50"/>
      <c r="S92" s="52"/>
      <c r="T92" s="52"/>
    </row>
    <row r="93" spans="1:20">
      <c r="A93" s="5"/>
      <c r="D93" s="5"/>
      <c r="E93" s="5"/>
      <c r="F93" s="5"/>
      <c r="G93" s="5"/>
      <c r="H93" s="5"/>
      <c r="I93" s="5"/>
      <c r="J93" s="5"/>
      <c r="L93" s="49"/>
      <c r="M93" s="49"/>
      <c r="O93" s="51"/>
      <c r="P93" s="52"/>
      <c r="Q93" s="52"/>
      <c r="R93" s="50"/>
      <c r="S93" s="52"/>
      <c r="T93" s="52"/>
    </row>
    <row r="94" spans="1:20">
      <c r="A94" s="5"/>
      <c r="D94" s="5"/>
      <c r="E94" s="5"/>
      <c r="F94" s="5"/>
      <c r="G94" s="5"/>
      <c r="H94" s="5"/>
      <c r="I94" s="5"/>
      <c r="J94" s="5"/>
      <c r="L94" s="49"/>
      <c r="M94" s="49"/>
      <c r="O94" s="51"/>
      <c r="P94" s="52"/>
      <c r="Q94" s="52"/>
      <c r="R94" s="50"/>
      <c r="S94" s="52"/>
      <c r="T94" s="52"/>
    </row>
    <row r="95" spans="1:20">
      <c r="A95" s="5"/>
      <c r="D95" s="5"/>
      <c r="E95" s="5"/>
      <c r="F95" s="5"/>
      <c r="G95" s="5"/>
      <c r="H95" s="5"/>
      <c r="I95" s="5"/>
      <c r="J95" s="5"/>
      <c r="L95" s="49"/>
      <c r="M95" s="49"/>
      <c r="O95" s="51"/>
      <c r="P95" s="52"/>
      <c r="Q95" s="52"/>
      <c r="R95" s="50"/>
      <c r="S95" s="52"/>
      <c r="T95" s="52"/>
    </row>
    <row r="96" spans="1:20">
      <c r="A96" s="5"/>
      <c r="D96" s="5"/>
      <c r="E96" s="5"/>
      <c r="F96" s="5"/>
      <c r="G96" s="5"/>
      <c r="H96" s="5"/>
      <c r="I96" s="5"/>
      <c r="J96" s="5"/>
      <c r="L96" s="49"/>
      <c r="M96" s="49"/>
      <c r="O96" s="51"/>
      <c r="P96" s="52"/>
      <c r="Q96" s="52"/>
      <c r="R96" s="50"/>
      <c r="S96" s="52"/>
      <c r="T96" s="52"/>
    </row>
    <row r="97" spans="1:20">
      <c r="A97" s="5"/>
      <c r="D97" s="5"/>
      <c r="E97" s="5"/>
      <c r="F97" s="5"/>
      <c r="G97" s="5"/>
      <c r="H97" s="5"/>
      <c r="I97" s="5"/>
      <c r="J97" s="5"/>
      <c r="L97" s="49"/>
      <c r="M97" s="49"/>
      <c r="O97" s="51"/>
      <c r="P97" s="52"/>
      <c r="Q97" s="52"/>
      <c r="R97" s="50"/>
      <c r="S97" s="52"/>
      <c r="T97" s="52"/>
    </row>
    <row r="98" spans="1:20">
      <c r="A98" s="5"/>
      <c r="D98" s="5"/>
      <c r="E98" s="5"/>
      <c r="F98" s="5"/>
      <c r="G98" s="5"/>
      <c r="H98" s="5"/>
      <c r="I98" s="5"/>
      <c r="J98" s="5"/>
      <c r="L98" s="49"/>
      <c r="M98" s="49"/>
      <c r="O98" s="51"/>
      <c r="P98" s="52"/>
      <c r="Q98" s="52"/>
      <c r="R98" s="50"/>
      <c r="S98" s="52"/>
      <c r="T98" s="52"/>
    </row>
    <row r="99" spans="1:20">
      <c r="A99" s="5"/>
      <c r="D99" s="5"/>
      <c r="E99" s="5"/>
      <c r="F99" s="5"/>
      <c r="G99" s="5"/>
      <c r="H99" s="5"/>
      <c r="I99" s="5"/>
      <c r="J99" s="5"/>
      <c r="L99" s="49"/>
      <c r="M99" s="49"/>
      <c r="O99" s="51"/>
      <c r="P99" s="52"/>
      <c r="Q99" s="52"/>
      <c r="R99" s="50"/>
      <c r="S99" s="52"/>
      <c r="T99" s="52"/>
    </row>
    <row r="100" spans="1:20">
      <c r="A100" s="5"/>
      <c r="D100" s="5"/>
      <c r="E100" s="5"/>
      <c r="F100" s="5"/>
      <c r="G100" s="5"/>
      <c r="H100" s="5"/>
      <c r="I100" s="5"/>
      <c r="J100" s="5"/>
      <c r="L100" s="49"/>
      <c r="M100" s="49"/>
      <c r="O100" s="51"/>
      <c r="P100" s="52"/>
      <c r="Q100" s="52"/>
      <c r="R100" s="50"/>
      <c r="S100" s="52"/>
      <c r="T100" s="52"/>
    </row>
    <row r="101" spans="1:20">
      <c r="A101" s="5"/>
      <c r="D101" s="5"/>
      <c r="E101" s="5"/>
      <c r="F101" s="5"/>
      <c r="G101" s="5"/>
      <c r="H101" s="5"/>
      <c r="I101" s="5"/>
      <c r="J101" s="5"/>
      <c r="L101" s="49"/>
      <c r="M101" s="49"/>
      <c r="O101" s="51"/>
      <c r="P101" s="52"/>
      <c r="Q101" s="52"/>
      <c r="R101" s="50"/>
      <c r="S101" s="52"/>
      <c r="T101" s="52"/>
    </row>
    <row r="102" spans="1:20">
      <c r="A102" s="5"/>
      <c r="D102" s="5"/>
      <c r="E102" s="5"/>
      <c r="F102" s="5"/>
      <c r="G102" s="5"/>
      <c r="H102" s="5"/>
      <c r="I102" s="5"/>
      <c r="J102" s="5"/>
      <c r="L102" s="49"/>
      <c r="M102" s="49"/>
      <c r="O102" s="51"/>
      <c r="P102" s="52"/>
      <c r="Q102" s="52"/>
      <c r="R102" s="50"/>
      <c r="S102" s="52"/>
      <c r="T102" s="52"/>
    </row>
    <row r="103" spans="1:20">
      <c r="A103" s="5"/>
      <c r="D103" s="5"/>
      <c r="E103" s="5"/>
      <c r="F103" s="5"/>
      <c r="G103" s="5"/>
      <c r="H103" s="5"/>
      <c r="I103" s="5"/>
      <c r="J103" s="5"/>
      <c r="L103" s="49"/>
      <c r="M103" s="49"/>
      <c r="O103" s="51"/>
      <c r="P103" s="52"/>
      <c r="Q103" s="52"/>
      <c r="R103" s="50"/>
      <c r="S103" s="52"/>
      <c r="T103" s="52"/>
    </row>
    <row r="104" spans="1:20">
      <c r="A104" s="5"/>
      <c r="D104" s="5"/>
      <c r="E104" s="5"/>
      <c r="F104" s="5"/>
      <c r="G104" s="5"/>
      <c r="H104" s="5"/>
      <c r="I104" s="5"/>
      <c r="J104" s="5"/>
      <c r="L104" s="49"/>
      <c r="M104" s="49"/>
      <c r="O104" s="51"/>
      <c r="P104" s="52"/>
      <c r="Q104" s="52"/>
      <c r="R104" s="50"/>
      <c r="S104" s="52"/>
      <c r="T104" s="52"/>
    </row>
    <row r="105" spans="1:20">
      <c r="A105" s="5"/>
      <c r="D105" s="5"/>
      <c r="E105" s="5"/>
      <c r="F105" s="5"/>
      <c r="G105" s="5"/>
      <c r="H105" s="5"/>
      <c r="I105" s="5"/>
      <c r="J105" s="5"/>
      <c r="L105" s="49"/>
      <c r="M105" s="49"/>
      <c r="O105" s="51"/>
      <c r="P105" s="52"/>
      <c r="Q105" s="52"/>
      <c r="R105" s="50"/>
      <c r="S105" s="52"/>
      <c r="T105" s="52"/>
    </row>
    <row r="106" spans="1:20">
      <c r="A106" s="5"/>
      <c r="D106" s="5"/>
      <c r="E106" s="5"/>
      <c r="F106" s="5"/>
      <c r="G106" s="5"/>
      <c r="H106" s="5"/>
      <c r="I106" s="5"/>
      <c r="J106" s="5"/>
      <c r="L106" s="49"/>
      <c r="M106" s="49"/>
      <c r="O106" s="51"/>
      <c r="P106" s="52"/>
      <c r="Q106" s="52"/>
      <c r="R106" s="50"/>
      <c r="S106" s="52"/>
      <c r="T106" s="52"/>
    </row>
    <row r="107" spans="1:20">
      <c r="A107" s="5"/>
      <c r="D107" s="5"/>
      <c r="E107" s="5"/>
      <c r="F107" s="5"/>
      <c r="G107" s="5"/>
      <c r="H107" s="5"/>
      <c r="I107" s="5"/>
      <c r="J107" s="5"/>
      <c r="L107" s="49"/>
      <c r="M107" s="49"/>
      <c r="O107" s="51"/>
      <c r="P107" s="52"/>
      <c r="Q107" s="52"/>
      <c r="R107" s="50"/>
      <c r="S107" s="52"/>
      <c r="T107" s="52"/>
    </row>
    <row r="108" spans="1:20">
      <c r="A108" s="5"/>
      <c r="D108" s="5"/>
      <c r="E108" s="5"/>
      <c r="F108" s="5"/>
      <c r="G108" s="5"/>
      <c r="H108" s="5"/>
      <c r="I108" s="5"/>
      <c r="J108" s="5"/>
      <c r="L108" s="49"/>
      <c r="M108" s="49"/>
      <c r="O108" s="51"/>
      <c r="P108" s="52"/>
      <c r="Q108" s="52"/>
      <c r="R108" s="50"/>
      <c r="S108" s="52"/>
      <c r="T108" s="52"/>
    </row>
    <row r="109" spans="1:20">
      <c r="A109" s="5"/>
      <c r="D109" s="5"/>
      <c r="E109" s="5"/>
      <c r="F109" s="5"/>
      <c r="G109" s="5"/>
      <c r="H109" s="5"/>
      <c r="I109" s="5"/>
      <c r="J109" s="5"/>
      <c r="L109" s="49"/>
      <c r="M109" s="49"/>
      <c r="O109" s="51"/>
      <c r="P109" s="52"/>
      <c r="Q109" s="52"/>
      <c r="R109" s="50"/>
      <c r="S109" s="52"/>
      <c r="T109" s="52"/>
    </row>
    <row r="110" spans="1:20">
      <c r="A110" s="5"/>
      <c r="D110" s="5"/>
      <c r="E110" s="5"/>
      <c r="F110" s="5"/>
      <c r="G110" s="5"/>
      <c r="H110" s="5"/>
      <c r="I110" s="5"/>
      <c r="J110" s="5"/>
      <c r="L110" s="49"/>
      <c r="M110" s="49"/>
      <c r="O110" s="51"/>
      <c r="P110" s="52"/>
      <c r="Q110" s="52"/>
      <c r="R110" s="50"/>
      <c r="S110" s="52"/>
      <c r="T110" s="52"/>
    </row>
    <row r="111" spans="1:20">
      <c r="A111" s="5"/>
      <c r="D111" s="5"/>
      <c r="E111" s="5"/>
      <c r="F111" s="5"/>
      <c r="G111" s="5"/>
      <c r="H111" s="5"/>
      <c r="I111" s="5"/>
      <c r="J111" s="5"/>
      <c r="L111" s="49"/>
      <c r="M111" s="49"/>
      <c r="O111" s="51"/>
      <c r="P111" s="52"/>
      <c r="Q111" s="52"/>
      <c r="R111" s="50"/>
      <c r="S111" s="52"/>
      <c r="T111" s="52"/>
    </row>
    <row r="112" spans="1:20">
      <c r="A112" s="5"/>
      <c r="D112" s="5"/>
      <c r="E112" s="5"/>
      <c r="F112" s="5"/>
      <c r="G112" s="5"/>
      <c r="H112" s="5"/>
      <c r="I112" s="5"/>
      <c r="J112" s="5"/>
      <c r="L112" s="49"/>
      <c r="M112" s="49"/>
      <c r="O112" s="51"/>
      <c r="P112" s="52"/>
      <c r="Q112" s="52"/>
      <c r="R112" s="50"/>
      <c r="S112" s="52"/>
      <c r="T112" s="52"/>
    </row>
    <row r="113" spans="1:20">
      <c r="A113" s="5"/>
      <c r="D113" s="5"/>
      <c r="E113" s="5"/>
      <c r="F113" s="5"/>
      <c r="G113" s="5"/>
      <c r="H113" s="5"/>
      <c r="I113" s="5"/>
      <c r="J113" s="5"/>
      <c r="L113" s="49"/>
      <c r="M113" s="49"/>
      <c r="O113" s="51"/>
      <c r="P113" s="52"/>
      <c r="Q113" s="52"/>
      <c r="R113" s="50"/>
      <c r="S113" s="52"/>
      <c r="T113" s="52"/>
    </row>
    <row r="114" spans="1:20">
      <c r="A114" s="5"/>
      <c r="D114" s="5"/>
      <c r="E114" s="5"/>
      <c r="F114" s="5"/>
      <c r="G114" s="5"/>
      <c r="H114" s="5"/>
      <c r="I114" s="5"/>
      <c r="J114" s="5"/>
      <c r="L114" s="49"/>
      <c r="M114" s="49"/>
      <c r="O114" s="51"/>
      <c r="P114" s="52"/>
      <c r="Q114" s="52"/>
      <c r="R114" s="50"/>
      <c r="S114" s="52"/>
      <c r="T114" s="52"/>
    </row>
    <row r="115" spans="1:20">
      <c r="A115" s="5"/>
      <c r="D115" s="5"/>
      <c r="E115" s="5"/>
      <c r="F115" s="5"/>
      <c r="G115" s="5"/>
      <c r="H115" s="5"/>
      <c r="I115" s="5"/>
      <c r="J115" s="5"/>
      <c r="L115" s="49"/>
      <c r="M115" s="49"/>
      <c r="O115" s="51"/>
      <c r="P115" s="52"/>
      <c r="Q115" s="52"/>
      <c r="R115" s="50"/>
      <c r="S115" s="52"/>
      <c r="T115" s="52"/>
    </row>
    <row r="116" spans="1:20">
      <c r="A116" s="5"/>
      <c r="D116" s="5"/>
      <c r="E116" s="5"/>
      <c r="F116" s="5"/>
      <c r="G116" s="5"/>
      <c r="H116" s="5"/>
      <c r="I116" s="5"/>
      <c r="J116" s="5"/>
      <c r="L116" s="49"/>
      <c r="M116" s="49"/>
      <c r="O116" s="51"/>
      <c r="P116" s="52"/>
      <c r="Q116" s="52"/>
      <c r="R116" s="50"/>
      <c r="S116" s="52"/>
      <c r="T116" s="52"/>
    </row>
    <row r="117" spans="1:20">
      <c r="A117" s="5"/>
      <c r="D117" s="5"/>
      <c r="E117" s="5"/>
      <c r="F117" s="5"/>
      <c r="G117" s="5"/>
      <c r="H117" s="5"/>
      <c r="I117" s="5"/>
      <c r="J117" s="5"/>
      <c r="L117" s="49"/>
      <c r="M117" s="49"/>
      <c r="O117" s="51"/>
      <c r="P117" s="52"/>
      <c r="Q117" s="52"/>
      <c r="R117" s="50"/>
      <c r="S117" s="52"/>
      <c r="T117" s="52"/>
    </row>
    <row r="118" spans="1:20">
      <c r="A118" s="5"/>
      <c r="D118" s="5"/>
      <c r="E118" s="5"/>
      <c r="F118" s="5"/>
      <c r="G118" s="5"/>
      <c r="H118" s="5"/>
      <c r="I118" s="5"/>
      <c r="J118" s="5"/>
      <c r="L118" s="49"/>
      <c r="M118" s="49"/>
      <c r="O118" s="51"/>
      <c r="P118" s="52"/>
      <c r="Q118" s="52"/>
      <c r="R118" s="50"/>
      <c r="S118" s="52"/>
      <c r="T118" s="52"/>
    </row>
    <row r="119" spans="1:20">
      <c r="A119" s="5"/>
      <c r="D119" s="5"/>
      <c r="E119" s="5"/>
      <c r="F119" s="5"/>
      <c r="G119" s="5"/>
      <c r="H119" s="5"/>
      <c r="I119" s="5"/>
      <c r="J119" s="5"/>
      <c r="L119" s="49"/>
      <c r="M119" s="49"/>
      <c r="O119" s="51"/>
      <c r="P119" s="52"/>
      <c r="Q119" s="52"/>
      <c r="R119" s="50"/>
      <c r="S119" s="52"/>
      <c r="T119" s="52"/>
    </row>
    <row r="120" spans="1:20">
      <c r="A120" s="5"/>
      <c r="D120" s="5"/>
      <c r="E120" s="5"/>
      <c r="F120" s="5"/>
      <c r="G120" s="5"/>
      <c r="H120" s="5"/>
      <c r="I120" s="5"/>
      <c r="J120" s="5"/>
      <c r="L120" s="49"/>
      <c r="M120" s="49"/>
      <c r="O120" s="51"/>
      <c r="P120" s="52"/>
      <c r="Q120" s="52"/>
      <c r="R120" s="50"/>
      <c r="S120" s="52"/>
      <c r="T120" s="52"/>
    </row>
    <row r="121" spans="1:20">
      <c r="A121" s="5"/>
      <c r="D121" s="5"/>
      <c r="E121" s="5"/>
      <c r="F121" s="5"/>
      <c r="G121" s="5"/>
      <c r="H121" s="5"/>
      <c r="I121" s="5"/>
      <c r="J121" s="5"/>
      <c r="L121" s="49"/>
      <c r="M121" s="49"/>
      <c r="O121" s="51"/>
      <c r="P121" s="52"/>
      <c r="Q121" s="52"/>
      <c r="R121" s="50"/>
      <c r="S121" s="52"/>
      <c r="T121" s="52"/>
    </row>
    <row r="122" spans="1:20">
      <c r="A122" s="5"/>
      <c r="D122" s="5"/>
      <c r="E122" s="5"/>
      <c r="F122" s="5"/>
      <c r="G122" s="5"/>
      <c r="H122" s="5"/>
      <c r="I122" s="5"/>
      <c r="J122" s="5"/>
      <c r="L122" s="49"/>
      <c r="M122" s="49"/>
      <c r="O122" s="51"/>
      <c r="P122" s="52"/>
      <c r="Q122" s="52"/>
      <c r="R122" s="50"/>
      <c r="S122" s="52"/>
      <c r="T122" s="52"/>
    </row>
    <row r="123" spans="1:20">
      <c r="A123" s="5"/>
      <c r="D123" s="5"/>
      <c r="E123" s="5"/>
      <c r="F123" s="5"/>
      <c r="G123" s="5"/>
      <c r="H123" s="5"/>
      <c r="I123" s="5"/>
      <c r="J123" s="5"/>
    </row>
    <row r="124" spans="1:20">
      <c r="A124" s="5"/>
      <c r="D124" s="5"/>
      <c r="E124" s="5"/>
      <c r="F124" s="5"/>
      <c r="G124" s="5"/>
      <c r="H124" s="5"/>
      <c r="I124" s="5"/>
      <c r="J124" s="5"/>
    </row>
    <row r="125" spans="1:20">
      <c r="A125" s="5"/>
      <c r="D125" s="5"/>
      <c r="E125" s="5"/>
      <c r="F125" s="5"/>
      <c r="G125" s="5"/>
      <c r="H125" s="5"/>
      <c r="I125" s="5"/>
      <c r="J125" s="5"/>
    </row>
    <row r="126" spans="1:20">
      <c r="A126" s="5"/>
      <c r="D126" s="5"/>
      <c r="E126" s="5"/>
      <c r="F126" s="5"/>
      <c r="G126" s="5"/>
      <c r="H126" s="5"/>
      <c r="I126" s="5"/>
      <c r="J126" s="5"/>
    </row>
    <row r="127" spans="1:20">
      <c r="A127" s="5"/>
      <c r="D127" s="5"/>
      <c r="E127" s="5"/>
      <c r="F127" s="5"/>
      <c r="G127" s="5"/>
      <c r="H127" s="5"/>
      <c r="I127" s="5"/>
      <c r="J127" s="5"/>
    </row>
    <row r="128" spans="1:20">
      <c r="A128" s="5"/>
      <c r="D128" s="5"/>
      <c r="E128" s="5"/>
      <c r="F128" s="5"/>
      <c r="G128" s="5"/>
      <c r="H128" s="5"/>
      <c r="I128" s="5"/>
      <c r="J128" s="5"/>
    </row>
    <row r="129" spans="1:10">
      <c r="A129" s="5"/>
      <c r="D129" s="5"/>
      <c r="E129" s="5"/>
      <c r="F129" s="5"/>
      <c r="G129" s="5"/>
      <c r="H129" s="5"/>
      <c r="I129" s="5"/>
      <c r="J129" s="5"/>
    </row>
    <row r="130" spans="1:10">
      <c r="A130" s="5"/>
      <c r="D130" s="5"/>
      <c r="E130" s="5"/>
      <c r="F130" s="5"/>
      <c r="G130" s="5"/>
      <c r="H130" s="5"/>
      <c r="I130" s="5"/>
      <c r="J130" s="5"/>
    </row>
    <row r="131" spans="1:10">
      <c r="A131" s="5"/>
      <c r="D131" s="5"/>
      <c r="E131" s="5"/>
      <c r="F131" s="5"/>
      <c r="G131" s="5"/>
      <c r="H131" s="5"/>
      <c r="I131" s="5"/>
      <c r="J131" s="5"/>
    </row>
    <row r="132" spans="1:10">
      <c r="A132" s="5"/>
      <c r="D132" s="5"/>
      <c r="E132" s="5"/>
      <c r="F132" s="5"/>
      <c r="G132" s="5"/>
      <c r="H132" s="5"/>
      <c r="I132" s="5"/>
      <c r="J132" s="5"/>
    </row>
    <row r="133" spans="1:10">
      <c r="A133" s="5"/>
      <c r="D133" s="5"/>
      <c r="E133" s="5"/>
      <c r="F133" s="5"/>
      <c r="G133" s="5"/>
      <c r="H133" s="5"/>
      <c r="I133" s="5"/>
      <c r="J133" s="5"/>
    </row>
    <row r="134" spans="1:10">
      <c r="A134" s="5"/>
      <c r="D134" s="5"/>
      <c r="E134" s="5"/>
      <c r="F134" s="5"/>
      <c r="G134" s="5"/>
      <c r="H134" s="5"/>
      <c r="I134" s="5"/>
      <c r="J134" s="5"/>
    </row>
    <row r="135" spans="1:10">
      <c r="A135" s="5"/>
      <c r="D135" s="5"/>
      <c r="E135" s="5"/>
      <c r="F135" s="5"/>
      <c r="G135" s="5"/>
      <c r="H135" s="5"/>
      <c r="I135" s="5"/>
      <c r="J135" s="5"/>
    </row>
    <row r="136" spans="1:10">
      <c r="A136" s="5"/>
      <c r="D136" s="5"/>
      <c r="E136" s="5"/>
      <c r="F136" s="5"/>
      <c r="G136" s="5"/>
      <c r="H136" s="5"/>
      <c r="I136" s="5"/>
      <c r="J136" s="5"/>
    </row>
    <row r="137" spans="1:10">
      <c r="A137" s="5"/>
      <c r="D137" s="5"/>
      <c r="E137" s="5"/>
      <c r="F137" s="5"/>
      <c r="G137" s="5"/>
      <c r="H137" s="5"/>
      <c r="I137" s="5"/>
      <c r="J137" s="5"/>
    </row>
    <row r="138" spans="1:10">
      <c r="A138" s="5"/>
      <c r="D138" s="5"/>
      <c r="E138" s="5"/>
      <c r="F138" s="5"/>
      <c r="G138" s="5"/>
      <c r="H138" s="5"/>
      <c r="I138" s="5"/>
      <c r="J138" s="5"/>
    </row>
    <row r="139" spans="1:10">
      <c r="A139" s="5"/>
      <c r="D139" s="5"/>
      <c r="E139" s="5"/>
      <c r="F139" s="5"/>
      <c r="G139" s="5"/>
      <c r="H139" s="5"/>
      <c r="I139" s="5"/>
      <c r="J139" s="5"/>
    </row>
    <row r="140" spans="1:10">
      <c r="A140" s="5"/>
      <c r="D140" s="5"/>
      <c r="E140" s="5"/>
      <c r="F140" s="5"/>
      <c r="G140" s="5"/>
      <c r="H140" s="5"/>
      <c r="I140" s="5"/>
      <c r="J140" s="5"/>
    </row>
    <row r="141" spans="1:10">
      <c r="A141" s="5"/>
      <c r="D141" s="5"/>
      <c r="E141" s="5"/>
      <c r="F141" s="5"/>
      <c r="G141" s="5"/>
      <c r="H141" s="5"/>
      <c r="I141" s="5"/>
      <c r="J141" s="5"/>
    </row>
    <row r="142" spans="1:10">
      <c r="A142" s="5"/>
      <c r="D142" s="5"/>
      <c r="E142" s="5"/>
      <c r="F142" s="5"/>
      <c r="G142" s="5"/>
      <c r="H142" s="5"/>
      <c r="I142" s="5"/>
      <c r="J142" s="5"/>
    </row>
    <row r="143" spans="1:10">
      <c r="A143" s="5"/>
      <c r="D143" s="5"/>
      <c r="E143" s="5"/>
      <c r="F143" s="5"/>
      <c r="G143" s="5"/>
      <c r="H143" s="5"/>
      <c r="I143" s="5"/>
      <c r="J143" s="5"/>
    </row>
    <row r="144" spans="1:10">
      <c r="A144" s="5"/>
      <c r="D144" s="5"/>
      <c r="E144" s="5"/>
      <c r="F144" s="5"/>
      <c r="G144" s="5"/>
      <c r="H144" s="5"/>
      <c r="I144" s="5"/>
      <c r="J144" s="5"/>
    </row>
    <row r="145" spans="1:10">
      <c r="A145" s="5"/>
      <c r="D145" s="5"/>
      <c r="E145" s="5"/>
      <c r="F145" s="5"/>
      <c r="G145" s="5"/>
      <c r="H145" s="5"/>
      <c r="I145" s="5"/>
      <c r="J145" s="5"/>
    </row>
    <row r="146" spans="1:10">
      <c r="A146" s="5"/>
      <c r="D146" s="5"/>
      <c r="E146" s="5"/>
      <c r="F146" s="5"/>
      <c r="G146" s="5"/>
      <c r="H146" s="5"/>
      <c r="I146" s="5"/>
      <c r="J146" s="5"/>
    </row>
    <row r="147" spans="1:10">
      <c r="A147" s="5"/>
      <c r="D147" s="5"/>
      <c r="E147" s="5"/>
      <c r="F147" s="5"/>
      <c r="G147" s="5"/>
      <c r="H147" s="5"/>
      <c r="I147" s="5"/>
      <c r="J147" s="5"/>
    </row>
    <row r="148" spans="1:10">
      <c r="A148" s="5"/>
      <c r="D148" s="5"/>
      <c r="E148" s="5"/>
      <c r="F148" s="5"/>
      <c r="G148" s="5"/>
      <c r="H148" s="5"/>
      <c r="I148" s="5"/>
      <c r="J148" s="5"/>
    </row>
    <row r="149" spans="1:10">
      <c r="A149" s="5"/>
      <c r="D149" s="5"/>
      <c r="E149" s="5"/>
      <c r="F149" s="5"/>
      <c r="G149" s="5"/>
      <c r="H149" s="5"/>
      <c r="I149" s="5"/>
      <c r="J149" s="5"/>
    </row>
    <row r="150" spans="1:10">
      <c r="A150" s="5"/>
      <c r="D150" s="5"/>
      <c r="E150" s="5"/>
      <c r="F150" s="5"/>
      <c r="G150" s="5"/>
      <c r="H150" s="5"/>
      <c r="I150" s="5"/>
      <c r="J150" s="5"/>
    </row>
    <row r="151" spans="1:10">
      <c r="A151" s="5"/>
      <c r="D151" s="5"/>
      <c r="E151" s="5"/>
      <c r="F151" s="5"/>
      <c r="G151" s="5"/>
      <c r="H151" s="5"/>
      <c r="I151" s="5"/>
      <c r="J151" s="5"/>
    </row>
    <row r="152" spans="1:10">
      <c r="A152" s="5"/>
      <c r="D152" s="5"/>
      <c r="E152" s="5"/>
      <c r="F152" s="5"/>
      <c r="G152" s="5"/>
      <c r="H152" s="5"/>
      <c r="I152" s="5"/>
      <c r="J152" s="5"/>
    </row>
    <row r="153" spans="1:10">
      <c r="A153" s="5"/>
      <c r="D153" s="5"/>
      <c r="E153" s="5"/>
      <c r="F153" s="5"/>
      <c r="G153" s="5"/>
      <c r="H153" s="5"/>
      <c r="I153" s="5"/>
      <c r="J153" s="5"/>
    </row>
    <row r="154" spans="1:10">
      <c r="A154" s="5"/>
      <c r="D154" s="5"/>
      <c r="E154" s="5"/>
      <c r="F154" s="5"/>
      <c r="G154" s="5"/>
      <c r="H154" s="5"/>
      <c r="I154" s="5"/>
      <c r="J154" s="5"/>
    </row>
    <row r="155" spans="1:10">
      <c r="A155" s="5"/>
      <c r="D155" s="5"/>
      <c r="E155" s="5"/>
      <c r="F155" s="5"/>
      <c r="G155" s="5"/>
      <c r="H155" s="5"/>
      <c r="I155" s="5"/>
      <c r="J155" s="5"/>
    </row>
    <row r="156" spans="1:10">
      <c r="A156" s="5"/>
      <c r="D156" s="5"/>
      <c r="E156" s="5"/>
      <c r="F156" s="5"/>
      <c r="G156" s="5"/>
      <c r="H156" s="5"/>
      <c r="I156" s="5"/>
      <c r="J156" s="5"/>
    </row>
    <row r="157" spans="1:10">
      <c r="A157" s="5"/>
      <c r="D157" s="5"/>
      <c r="E157" s="5"/>
      <c r="F157" s="5"/>
      <c r="G157" s="5"/>
      <c r="H157" s="5"/>
      <c r="I157" s="5"/>
      <c r="J157" s="5"/>
    </row>
    <row r="158" spans="1:10">
      <c r="A158" s="5"/>
      <c r="D158" s="5"/>
      <c r="E158" s="5"/>
      <c r="F158" s="5"/>
      <c r="G158" s="5"/>
      <c r="H158" s="5"/>
      <c r="I158" s="5"/>
      <c r="J158" s="5"/>
    </row>
  </sheetData>
  <mergeCells count="2">
    <mergeCell ref="A1:J1"/>
    <mergeCell ref="A2:J2"/>
  </mergeCells>
  <conditionalFormatting sqref="B1:B3 B159:B1048576">
    <cfRule type="cellIs" dxfId="14" priority="2" operator="equal">
      <formula>"Sat"</formula>
    </cfRule>
  </conditionalFormatting>
  <conditionalFormatting sqref="B4:B24">
    <cfRule type="containsText" dxfId="13" priority="1" operator="containsText" text="Sun">
      <formula>NOT(ISERROR(SEARCH("Sun",B4)))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183F-4093-4CE9-813A-5F27CD101828}">
  <dimension ref="A1:T158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02" sqref="A202:XFD1048576"/>
    </sheetView>
  </sheetViews>
  <sheetFormatPr defaultRowHeight="15"/>
  <cols>
    <col min="1" max="1" width="10.85546875" style="1" bestFit="1" customWidth="1"/>
    <col min="2" max="2" width="10.85546875" style="5" customWidth="1"/>
    <col min="3" max="3" width="7.85546875" style="5" customWidth="1"/>
    <col min="4" max="4" width="11.7109375" style="1" bestFit="1" customWidth="1"/>
    <col min="5" max="7" width="11.85546875" style="1" bestFit="1" customWidth="1"/>
    <col min="8" max="9" width="12.5703125" style="1" bestFit="1" customWidth="1"/>
    <col min="10" max="10" width="11.85546875" style="1" bestFit="1" customWidth="1"/>
    <col min="11" max="11" width="35.5703125" style="5" bestFit="1" customWidth="1"/>
    <col min="12" max="12" width="13.42578125" style="1" bestFit="1" customWidth="1"/>
    <col min="13" max="13" width="11" style="1" customWidth="1"/>
    <col min="14" max="14" width="55.42578125" style="50" bestFit="1" customWidth="1"/>
    <col min="15" max="15" width="6.42578125" style="3" customWidth="1"/>
    <col min="16" max="16" width="8.5703125" style="2" bestFit="1" customWidth="1"/>
    <col min="17" max="17" width="9" style="2" bestFit="1" customWidth="1"/>
    <col min="18" max="18" width="25.7109375" style="12" bestFit="1" customWidth="1"/>
    <col min="19" max="16384" width="9.140625" style="2"/>
  </cols>
  <sheetData>
    <row r="1" spans="1:20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</row>
    <row r="2" spans="1:20" ht="18.75">
      <c r="A2" s="95" t="s">
        <v>196</v>
      </c>
      <c r="B2" s="95"/>
      <c r="C2" s="95"/>
      <c r="D2" s="95"/>
      <c r="E2" s="95"/>
      <c r="F2" s="95"/>
      <c r="G2" s="95"/>
      <c r="H2" s="95"/>
      <c r="I2" s="95"/>
      <c r="J2" s="95"/>
      <c r="L2" s="23"/>
      <c r="M2" s="23"/>
      <c r="N2" s="53"/>
      <c r="O2" s="23"/>
      <c r="P2" s="23"/>
      <c r="Q2" s="23"/>
      <c r="R2" s="23"/>
      <c r="S2" s="23"/>
      <c r="T2" s="23"/>
    </row>
    <row r="3" spans="1:20" s="1" customFormat="1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L3" s="11" t="s">
        <v>9</v>
      </c>
      <c r="M3" s="11"/>
      <c r="N3" s="54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8" t="s">
        <v>16</v>
      </c>
      <c r="T3" s="8" t="s">
        <v>17</v>
      </c>
    </row>
    <row r="4" spans="1:20">
      <c r="A4" s="24">
        <v>46237</v>
      </c>
      <c r="B4" s="4" t="s">
        <v>19</v>
      </c>
      <c r="C4" s="7">
        <v>1</v>
      </c>
      <c r="D4" s="61" t="s">
        <v>96</v>
      </c>
      <c r="E4" s="16" t="s">
        <v>119</v>
      </c>
      <c r="F4" s="4" t="s">
        <v>97</v>
      </c>
      <c r="G4" s="18"/>
      <c r="H4" s="15" t="s">
        <v>88</v>
      </c>
      <c r="I4" s="16" t="s">
        <v>98</v>
      </c>
      <c r="J4" s="61" t="s">
        <v>94</v>
      </c>
      <c r="L4" s="4" t="s">
        <v>83</v>
      </c>
      <c r="M4" s="4"/>
      <c r="N4" s="36" t="s">
        <v>41</v>
      </c>
      <c r="O4" s="25">
        <v>2</v>
      </c>
      <c r="P4" s="14">
        <f t="shared" ref="P4:P15" si="0">Q4/1.25</f>
        <v>24</v>
      </c>
      <c r="Q4" s="14">
        <f t="shared" ref="Q4:Q15" si="1">O4*15</f>
        <v>30</v>
      </c>
      <c r="R4" s="34" t="s">
        <v>60</v>
      </c>
      <c r="S4" s="13">
        <f>COUNTIF($D$4:$J$144,"AIM")</f>
        <v>1</v>
      </c>
      <c r="T4" s="13">
        <f t="shared" ref="T4:T15" si="2">P4-S4</f>
        <v>23</v>
      </c>
    </row>
    <row r="5" spans="1:20" ht="25.5">
      <c r="A5" s="24">
        <v>46238</v>
      </c>
      <c r="B5" s="4" t="s">
        <v>20</v>
      </c>
      <c r="C5" s="7">
        <f>C4+1</f>
        <v>2</v>
      </c>
      <c r="D5" s="61" t="s">
        <v>28</v>
      </c>
      <c r="E5" s="16" t="s">
        <v>175</v>
      </c>
      <c r="F5" s="16" t="s">
        <v>187</v>
      </c>
      <c r="G5" s="18"/>
      <c r="H5" s="16" t="s">
        <v>190</v>
      </c>
      <c r="I5" s="16"/>
      <c r="J5" s="61" t="s">
        <v>93</v>
      </c>
      <c r="L5" s="26" t="s">
        <v>84</v>
      </c>
      <c r="M5" s="26"/>
      <c r="N5" s="36" t="s">
        <v>42</v>
      </c>
      <c r="O5" s="27">
        <v>2</v>
      </c>
      <c r="P5" s="14">
        <f t="shared" si="0"/>
        <v>24</v>
      </c>
      <c r="Q5" s="14">
        <f t="shared" si="1"/>
        <v>30</v>
      </c>
      <c r="R5" s="31"/>
      <c r="S5" s="13">
        <f>COUNTIF($D$4:$J$144,"MA")</f>
        <v>0</v>
      </c>
      <c r="T5" s="13">
        <f t="shared" si="2"/>
        <v>24</v>
      </c>
    </row>
    <row r="6" spans="1:20" ht="25.5">
      <c r="A6" s="24">
        <v>46239</v>
      </c>
      <c r="B6" s="4" t="s">
        <v>21</v>
      </c>
      <c r="C6" s="7">
        <f t="shared" ref="C6:C9" si="3">C5+1</f>
        <v>3</v>
      </c>
      <c r="D6" s="17" t="s">
        <v>126</v>
      </c>
      <c r="E6" s="4" t="s">
        <v>95</v>
      </c>
      <c r="F6" s="17" t="s">
        <v>178</v>
      </c>
      <c r="G6" s="18"/>
      <c r="H6" s="16" t="s">
        <v>191</v>
      </c>
      <c r="I6" s="16" t="s">
        <v>184</v>
      </c>
      <c r="J6" s="61" t="s">
        <v>118</v>
      </c>
      <c r="L6" s="26" t="s">
        <v>32</v>
      </c>
      <c r="M6" s="26"/>
      <c r="N6" s="36" t="s">
        <v>43</v>
      </c>
      <c r="O6" s="25">
        <v>2</v>
      </c>
      <c r="P6" s="14">
        <f t="shared" si="0"/>
        <v>24</v>
      </c>
      <c r="Q6" s="14">
        <f t="shared" si="1"/>
        <v>30</v>
      </c>
      <c r="R6" s="35" t="s">
        <v>62</v>
      </c>
      <c r="S6" s="13">
        <f>COUNTIF($D$4:$J$144,"FT")</f>
        <v>0</v>
      </c>
      <c r="T6" s="13">
        <f t="shared" si="2"/>
        <v>24</v>
      </c>
    </row>
    <row r="7" spans="1:20" ht="25.5">
      <c r="A7" s="24">
        <v>46240</v>
      </c>
      <c r="B7" s="4" t="s">
        <v>22</v>
      </c>
      <c r="C7" s="7">
        <f t="shared" si="3"/>
        <v>4</v>
      </c>
      <c r="D7" s="4" t="s">
        <v>116</v>
      </c>
      <c r="E7" s="17" t="s">
        <v>183</v>
      </c>
      <c r="F7" s="16" t="s">
        <v>26</v>
      </c>
      <c r="G7" s="18"/>
      <c r="H7" s="16" t="s">
        <v>181</v>
      </c>
      <c r="I7" s="16" t="s">
        <v>192</v>
      </c>
      <c r="J7" s="61" t="s">
        <v>120</v>
      </c>
      <c r="L7" s="26" t="s">
        <v>129</v>
      </c>
      <c r="M7" s="26"/>
      <c r="N7" s="38" t="s">
        <v>55</v>
      </c>
      <c r="O7" s="28">
        <v>1</v>
      </c>
      <c r="P7" s="14">
        <f t="shared" si="0"/>
        <v>12</v>
      </c>
      <c r="Q7" s="14">
        <f t="shared" si="1"/>
        <v>15</v>
      </c>
      <c r="R7" s="31"/>
      <c r="S7" s="13">
        <f>COUNTIF($D$4:$J$144,"SFM")</f>
        <v>0</v>
      </c>
      <c r="T7" s="13">
        <f t="shared" si="2"/>
        <v>12</v>
      </c>
    </row>
    <row r="8" spans="1:20">
      <c r="A8" s="24">
        <v>46241</v>
      </c>
      <c r="B8" s="4" t="s">
        <v>23</v>
      </c>
      <c r="C8" s="7">
        <f t="shared" si="3"/>
        <v>5</v>
      </c>
      <c r="D8" s="73" t="s">
        <v>134</v>
      </c>
      <c r="E8" s="73" t="s">
        <v>134</v>
      </c>
      <c r="F8" s="73" t="s">
        <v>134</v>
      </c>
      <c r="G8" s="18"/>
      <c r="H8" s="73" t="s">
        <v>134</v>
      </c>
      <c r="I8" s="73" t="s">
        <v>134</v>
      </c>
      <c r="J8" s="73" t="s">
        <v>134</v>
      </c>
      <c r="L8" s="20" t="s">
        <v>117</v>
      </c>
      <c r="M8" s="20"/>
      <c r="N8" s="36" t="s">
        <v>136</v>
      </c>
      <c r="O8" s="39">
        <v>2</v>
      </c>
      <c r="P8" s="55">
        <f t="shared" si="0"/>
        <v>24</v>
      </c>
      <c r="Q8" s="55">
        <f t="shared" si="1"/>
        <v>30</v>
      </c>
      <c r="R8" s="56" t="s">
        <v>82</v>
      </c>
      <c r="S8" s="29">
        <f>COUNTIF($D$4:$J$144,"TAX")</f>
        <v>0</v>
      </c>
      <c r="T8" s="29">
        <f t="shared" si="2"/>
        <v>24</v>
      </c>
    </row>
    <row r="9" spans="1:20">
      <c r="A9" s="24">
        <v>46242</v>
      </c>
      <c r="B9" s="4" t="s">
        <v>24</v>
      </c>
      <c r="C9" s="7">
        <f t="shared" si="3"/>
        <v>6</v>
      </c>
      <c r="D9" s="73"/>
      <c r="E9" s="73"/>
      <c r="F9" s="73"/>
      <c r="G9" s="18"/>
      <c r="H9" s="73"/>
      <c r="I9" s="73" t="s">
        <v>32</v>
      </c>
      <c r="J9" s="73" t="s">
        <v>32</v>
      </c>
      <c r="L9" s="19" t="s">
        <v>120</v>
      </c>
      <c r="M9" s="19"/>
      <c r="N9" s="36" t="s">
        <v>137</v>
      </c>
      <c r="O9" s="39">
        <v>2</v>
      </c>
      <c r="P9" s="55">
        <f t="shared" si="0"/>
        <v>24</v>
      </c>
      <c r="Q9" s="55">
        <f t="shared" si="1"/>
        <v>30</v>
      </c>
      <c r="R9" s="76" t="s">
        <v>68</v>
      </c>
      <c r="S9" s="29">
        <f>COUNTIF($D$4:$J$144,"SAPM")</f>
        <v>3</v>
      </c>
      <c r="T9" s="29">
        <f t="shared" si="2"/>
        <v>21</v>
      </c>
    </row>
    <row r="10" spans="1:20">
      <c r="A10" s="24">
        <v>46243</v>
      </c>
      <c r="B10" s="4" t="s">
        <v>25</v>
      </c>
      <c r="C10" s="7"/>
      <c r="D10" s="21"/>
      <c r="E10" s="21"/>
      <c r="F10" s="22"/>
      <c r="G10" s="6"/>
      <c r="H10" s="22"/>
      <c r="I10" s="21"/>
      <c r="J10" s="75"/>
      <c r="L10" s="19" t="s">
        <v>85</v>
      </c>
      <c r="M10" s="19"/>
      <c r="N10" s="36" t="s">
        <v>138</v>
      </c>
      <c r="O10" s="39">
        <v>2</v>
      </c>
      <c r="P10" s="55">
        <f t="shared" si="0"/>
        <v>24</v>
      </c>
      <c r="Q10" s="55">
        <f t="shared" si="1"/>
        <v>30</v>
      </c>
      <c r="R10" s="76" t="s">
        <v>65</v>
      </c>
      <c r="S10" s="29">
        <f>COUNTIF($D$4:$J$144,"DSMM")</f>
        <v>3</v>
      </c>
      <c r="T10" s="29">
        <f t="shared" si="2"/>
        <v>21</v>
      </c>
    </row>
    <row r="11" spans="1:20">
      <c r="A11" s="24">
        <v>46244</v>
      </c>
      <c r="B11" s="4" t="s">
        <v>19</v>
      </c>
      <c r="C11" s="7">
        <f>C9+1</f>
        <v>7</v>
      </c>
      <c r="D11" s="61" t="s">
        <v>96</v>
      </c>
      <c r="E11" s="16" t="s">
        <v>119</v>
      </c>
      <c r="F11" s="4" t="s">
        <v>97</v>
      </c>
      <c r="G11" s="18"/>
      <c r="H11" s="15" t="s">
        <v>203</v>
      </c>
      <c r="I11" s="16" t="s">
        <v>98</v>
      </c>
      <c r="J11" s="61" t="s">
        <v>94</v>
      </c>
      <c r="L11" s="19" t="s">
        <v>86</v>
      </c>
      <c r="M11" s="19"/>
      <c r="N11" s="36" t="s">
        <v>139</v>
      </c>
      <c r="O11" s="39">
        <v>2</v>
      </c>
      <c r="P11" s="55">
        <f t="shared" si="0"/>
        <v>24</v>
      </c>
      <c r="Q11" s="55">
        <f t="shared" si="1"/>
        <v>30</v>
      </c>
      <c r="R11" s="76" t="s">
        <v>58</v>
      </c>
      <c r="S11" s="29">
        <f>COUNTIF($D$4:$J$144,"IMC")</f>
        <v>0</v>
      </c>
      <c r="T11" s="29">
        <f t="shared" si="2"/>
        <v>24</v>
      </c>
    </row>
    <row r="12" spans="1:20" ht="25.5">
      <c r="A12" s="24">
        <v>46245</v>
      </c>
      <c r="B12" s="4" t="s">
        <v>20</v>
      </c>
      <c r="C12" s="7">
        <f>C11+1</f>
        <v>8</v>
      </c>
      <c r="D12" s="61" t="s">
        <v>28</v>
      </c>
      <c r="E12" s="16" t="s">
        <v>175</v>
      </c>
      <c r="F12" s="16" t="s">
        <v>187</v>
      </c>
      <c r="G12" s="18"/>
      <c r="H12" s="16" t="s">
        <v>190</v>
      </c>
      <c r="I12" s="16"/>
      <c r="J12" s="61" t="s">
        <v>93</v>
      </c>
      <c r="L12" s="19" t="s">
        <v>87</v>
      </c>
      <c r="M12" s="19"/>
      <c r="N12" s="36" t="s">
        <v>140</v>
      </c>
      <c r="O12" s="39">
        <v>2</v>
      </c>
      <c r="P12" s="55">
        <f t="shared" si="0"/>
        <v>24</v>
      </c>
      <c r="Q12" s="55">
        <f t="shared" si="1"/>
        <v>30</v>
      </c>
      <c r="R12" s="76" t="s">
        <v>67</v>
      </c>
      <c r="S12" s="29">
        <f>COUNTIF($D$4:$J$144,"PS")</f>
        <v>0</v>
      </c>
      <c r="T12" s="29">
        <f t="shared" si="2"/>
        <v>24</v>
      </c>
    </row>
    <row r="13" spans="1:20" ht="25.5">
      <c r="A13" s="24">
        <v>46246</v>
      </c>
      <c r="B13" s="4" t="s">
        <v>21</v>
      </c>
      <c r="C13" s="7">
        <f t="shared" ref="C13:C15" si="4">C12+1</f>
        <v>9</v>
      </c>
      <c r="D13" s="17" t="s">
        <v>126</v>
      </c>
      <c r="E13" s="4" t="s">
        <v>95</v>
      </c>
      <c r="F13" s="17" t="s">
        <v>178</v>
      </c>
      <c r="G13" s="18"/>
      <c r="H13" s="16" t="s">
        <v>191</v>
      </c>
      <c r="I13" s="16" t="s">
        <v>184</v>
      </c>
      <c r="J13" s="61" t="s">
        <v>118</v>
      </c>
      <c r="L13" s="19" t="s">
        <v>88</v>
      </c>
      <c r="M13" s="19"/>
      <c r="N13" s="36" t="s">
        <v>141</v>
      </c>
      <c r="O13" s="39">
        <v>2</v>
      </c>
      <c r="P13" s="55">
        <f t="shared" si="0"/>
        <v>24</v>
      </c>
      <c r="Q13" s="55">
        <f t="shared" si="1"/>
        <v>30</v>
      </c>
      <c r="R13" s="76" t="s">
        <v>66</v>
      </c>
      <c r="S13" s="29">
        <f>COUNTIF($D$4:$J$144,"DDM")</f>
        <v>3</v>
      </c>
      <c r="T13" s="29">
        <f t="shared" si="2"/>
        <v>21</v>
      </c>
    </row>
    <row r="14" spans="1:20" ht="25.5">
      <c r="A14" s="24">
        <v>46247</v>
      </c>
      <c r="B14" s="4" t="s">
        <v>22</v>
      </c>
      <c r="C14" s="7">
        <f t="shared" si="4"/>
        <v>10</v>
      </c>
      <c r="D14" s="4" t="s">
        <v>116</v>
      </c>
      <c r="E14" s="17" t="s">
        <v>183</v>
      </c>
      <c r="F14" s="16" t="s">
        <v>26</v>
      </c>
      <c r="G14" s="18"/>
      <c r="H14" s="16" t="s">
        <v>181</v>
      </c>
      <c r="I14" s="16" t="s">
        <v>192</v>
      </c>
      <c r="J14" s="61" t="s">
        <v>120</v>
      </c>
      <c r="L14" s="19" t="s">
        <v>121</v>
      </c>
      <c r="M14" s="19"/>
      <c r="N14" s="36" t="s">
        <v>142</v>
      </c>
      <c r="O14" s="39">
        <v>2</v>
      </c>
      <c r="P14" s="55">
        <f t="shared" si="0"/>
        <v>24</v>
      </c>
      <c r="Q14" s="55">
        <f t="shared" si="1"/>
        <v>30</v>
      </c>
      <c r="R14" s="76"/>
      <c r="S14" s="29">
        <f>COUNTIF($D$4:$J$144,"EM")</f>
        <v>0</v>
      </c>
      <c r="T14" s="29">
        <f t="shared" si="2"/>
        <v>24</v>
      </c>
    </row>
    <row r="15" spans="1:20">
      <c r="A15" s="24">
        <v>46248</v>
      </c>
      <c r="B15" s="4" t="s">
        <v>23</v>
      </c>
      <c r="C15" s="7">
        <f t="shared" si="4"/>
        <v>11</v>
      </c>
      <c r="D15" s="73" t="s">
        <v>34</v>
      </c>
      <c r="E15" s="73" t="s">
        <v>34</v>
      </c>
      <c r="F15" s="73"/>
      <c r="G15" s="18"/>
      <c r="H15" s="73"/>
      <c r="I15" s="73"/>
      <c r="J15" s="73"/>
      <c r="L15" s="19" t="s">
        <v>122</v>
      </c>
      <c r="M15" s="19"/>
      <c r="N15" s="36" t="s">
        <v>143</v>
      </c>
      <c r="O15" s="39">
        <v>2</v>
      </c>
      <c r="P15" s="55">
        <f t="shared" si="0"/>
        <v>24</v>
      </c>
      <c r="Q15" s="55">
        <f t="shared" si="1"/>
        <v>30</v>
      </c>
      <c r="R15" s="76" t="s">
        <v>66</v>
      </c>
      <c r="S15" s="29">
        <f>COUNTIF($D$4:$J$144,"GSCM")</f>
        <v>0</v>
      </c>
      <c r="T15" s="29">
        <f t="shared" si="2"/>
        <v>24</v>
      </c>
    </row>
    <row r="16" spans="1:20">
      <c r="A16" s="24">
        <v>46249</v>
      </c>
      <c r="B16" s="4" t="s">
        <v>24</v>
      </c>
      <c r="C16" s="9" t="s">
        <v>33</v>
      </c>
      <c r="D16" s="73"/>
      <c r="E16" s="73"/>
      <c r="F16" s="73"/>
      <c r="G16" s="18"/>
      <c r="H16" s="73"/>
      <c r="I16" s="73"/>
      <c r="J16" s="73"/>
      <c r="L16" s="19"/>
      <c r="M16" s="19"/>
      <c r="N16" s="37" t="s">
        <v>35</v>
      </c>
      <c r="O16" s="70">
        <v>4</v>
      </c>
      <c r="P16" s="55">
        <f t="shared" ref="P16:P27" si="5">Q16/1.25</f>
        <v>48</v>
      </c>
      <c r="Q16" s="55">
        <f t="shared" ref="Q16:Q27" si="6">O16*15</f>
        <v>60</v>
      </c>
      <c r="R16" s="56"/>
      <c r="S16" s="29">
        <f>COUNTIF($D$4:$J$144,"WAAL")</f>
        <v>0</v>
      </c>
      <c r="T16" s="29">
        <f t="shared" ref="T16:T27" si="7">P16-S16</f>
        <v>48</v>
      </c>
    </row>
    <row r="17" spans="1:20">
      <c r="A17" s="24">
        <v>46250</v>
      </c>
      <c r="B17" s="4" t="s">
        <v>25</v>
      </c>
      <c r="C17" s="9"/>
      <c r="D17" s="21"/>
      <c r="E17" s="21"/>
      <c r="F17" s="22"/>
      <c r="G17" s="6"/>
      <c r="H17" s="22"/>
      <c r="I17" s="21"/>
      <c r="J17" s="75"/>
      <c r="L17" s="19" t="s">
        <v>123</v>
      </c>
      <c r="M17" s="19"/>
      <c r="N17" s="37" t="s">
        <v>144</v>
      </c>
      <c r="O17" s="72">
        <v>2</v>
      </c>
      <c r="P17" s="55">
        <f t="shared" si="5"/>
        <v>24</v>
      </c>
      <c r="Q17" s="55">
        <f t="shared" si="6"/>
        <v>30</v>
      </c>
      <c r="R17" s="56"/>
      <c r="S17" s="29">
        <f>COUNTIF($D$4:$J$144,"GTO")</f>
        <v>0</v>
      </c>
      <c r="T17" s="29">
        <f t="shared" si="7"/>
        <v>24</v>
      </c>
    </row>
    <row r="18" spans="1:20">
      <c r="A18" s="24">
        <v>46251</v>
      </c>
      <c r="B18" s="4" t="s">
        <v>19</v>
      </c>
      <c r="C18" s="9">
        <f>C15+1</f>
        <v>12</v>
      </c>
      <c r="D18" s="61" t="s">
        <v>96</v>
      </c>
      <c r="E18" s="16" t="s">
        <v>119</v>
      </c>
      <c r="F18" s="4" t="s">
        <v>97</v>
      </c>
      <c r="G18" s="18"/>
      <c r="H18" s="15" t="s">
        <v>203</v>
      </c>
      <c r="I18" s="16" t="s">
        <v>98</v>
      </c>
      <c r="J18" s="61" t="s">
        <v>94</v>
      </c>
      <c r="K18" s="5" t="s">
        <v>216</v>
      </c>
      <c r="L18" s="19" t="s">
        <v>89</v>
      </c>
      <c r="M18" s="19"/>
      <c r="N18" s="37" t="s">
        <v>145</v>
      </c>
      <c r="O18" s="72">
        <v>2</v>
      </c>
      <c r="P18" s="55">
        <f t="shared" si="5"/>
        <v>24</v>
      </c>
      <c r="Q18" s="55">
        <f t="shared" si="6"/>
        <v>30</v>
      </c>
      <c r="R18" s="56" t="s">
        <v>80</v>
      </c>
      <c r="S18" s="29">
        <f>COUNTIF($D$4:$J$144,"RSCM")</f>
        <v>0</v>
      </c>
      <c r="T18" s="29">
        <f t="shared" si="7"/>
        <v>24</v>
      </c>
    </row>
    <row r="19" spans="1:20" ht="25.5">
      <c r="A19" s="24">
        <v>46252</v>
      </c>
      <c r="B19" s="4" t="s">
        <v>20</v>
      </c>
      <c r="C19" s="9">
        <f>C18+1</f>
        <v>13</v>
      </c>
      <c r="D19" s="61" t="s">
        <v>28</v>
      </c>
      <c r="E19" s="16" t="s">
        <v>175</v>
      </c>
      <c r="F19" s="16" t="s">
        <v>187</v>
      </c>
      <c r="G19" s="18"/>
      <c r="H19" s="16" t="s">
        <v>190</v>
      </c>
      <c r="I19" s="16" t="s">
        <v>83</v>
      </c>
      <c r="J19" s="61" t="s">
        <v>93</v>
      </c>
      <c r="K19" s="5" t="s">
        <v>217</v>
      </c>
      <c r="L19" s="64" t="s">
        <v>90</v>
      </c>
      <c r="M19" s="64"/>
      <c r="N19" s="65" t="s">
        <v>146</v>
      </c>
      <c r="O19" s="66">
        <v>2</v>
      </c>
      <c r="P19" s="67">
        <f t="shared" si="5"/>
        <v>24</v>
      </c>
      <c r="Q19" s="67">
        <f t="shared" si="6"/>
        <v>30</v>
      </c>
      <c r="R19" s="68" t="s">
        <v>30</v>
      </c>
      <c r="S19" s="69">
        <f>COUNTIF($D$4:$J$144,"IHRM")</f>
        <v>0</v>
      </c>
      <c r="T19" s="69">
        <f t="shared" si="7"/>
        <v>24</v>
      </c>
    </row>
    <row r="20" spans="1:20" ht="25.5">
      <c r="A20" s="24">
        <v>46253</v>
      </c>
      <c r="B20" s="4" t="s">
        <v>21</v>
      </c>
      <c r="C20" s="9">
        <f t="shared" ref="C20:C23" si="8">C19+1</f>
        <v>14</v>
      </c>
      <c r="D20" s="17" t="s">
        <v>126</v>
      </c>
      <c r="E20" s="4" t="s">
        <v>95</v>
      </c>
      <c r="F20" s="17" t="s">
        <v>178</v>
      </c>
      <c r="G20" s="18"/>
      <c r="H20" s="16" t="s">
        <v>191</v>
      </c>
      <c r="I20" s="16" t="s">
        <v>184</v>
      </c>
      <c r="J20" s="61" t="s">
        <v>118</v>
      </c>
      <c r="L20" s="19" t="s">
        <v>124</v>
      </c>
      <c r="M20" s="19"/>
      <c r="N20" s="36" t="s">
        <v>147</v>
      </c>
      <c r="O20" s="41">
        <v>2</v>
      </c>
      <c r="P20" s="55">
        <f t="shared" si="5"/>
        <v>24</v>
      </c>
      <c r="Q20" s="55">
        <f t="shared" si="6"/>
        <v>30</v>
      </c>
      <c r="R20" s="56" t="s">
        <v>69</v>
      </c>
      <c r="S20" s="29">
        <f>COUNTIF($D$4:$J$144,"LEI")</f>
        <v>0</v>
      </c>
      <c r="T20" s="29">
        <f t="shared" si="7"/>
        <v>24</v>
      </c>
    </row>
    <row r="21" spans="1:20" ht="25.5">
      <c r="A21" s="24">
        <v>46254</v>
      </c>
      <c r="B21" s="4" t="s">
        <v>22</v>
      </c>
      <c r="C21" s="9">
        <f t="shared" si="8"/>
        <v>15</v>
      </c>
      <c r="D21" s="4" t="s">
        <v>116</v>
      </c>
      <c r="E21" s="17" t="s">
        <v>183</v>
      </c>
      <c r="F21" s="16" t="s">
        <v>26</v>
      </c>
      <c r="G21" s="18"/>
      <c r="H21" s="16" t="s">
        <v>202</v>
      </c>
      <c r="I21" s="16" t="s">
        <v>192</v>
      </c>
      <c r="J21" s="61" t="s">
        <v>120</v>
      </c>
      <c r="L21" s="19" t="s">
        <v>91</v>
      </c>
      <c r="M21" s="19"/>
      <c r="N21" s="36" t="s">
        <v>36</v>
      </c>
      <c r="O21" s="39">
        <v>2</v>
      </c>
      <c r="P21" s="55">
        <f t="shared" si="5"/>
        <v>24</v>
      </c>
      <c r="Q21" s="55">
        <f t="shared" si="6"/>
        <v>30</v>
      </c>
      <c r="R21" s="56" t="s">
        <v>193</v>
      </c>
      <c r="S21" s="29">
        <f>COUNTIF($D$4:$J$144,"CRP3")</f>
        <v>9</v>
      </c>
      <c r="T21" s="29">
        <f t="shared" si="7"/>
        <v>15</v>
      </c>
    </row>
    <row r="22" spans="1:20">
      <c r="A22" s="24">
        <v>46255</v>
      </c>
      <c r="B22" s="4" t="s">
        <v>23</v>
      </c>
      <c r="C22" s="9">
        <f t="shared" si="8"/>
        <v>16</v>
      </c>
      <c r="D22" s="73" t="s">
        <v>34</v>
      </c>
      <c r="E22" s="73" t="s">
        <v>34</v>
      </c>
      <c r="F22" s="73" t="s">
        <v>44</v>
      </c>
      <c r="G22" s="18"/>
      <c r="H22" s="73" t="s">
        <v>134</v>
      </c>
      <c r="I22" s="73" t="s">
        <v>134</v>
      </c>
      <c r="J22" s="73" t="s">
        <v>134</v>
      </c>
      <c r="L22" s="19" t="s">
        <v>125</v>
      </c>
      <c r="M22" s="19"/>
      <c r="N22" s="36" t="s">
        <v>148</v>
      </c>
      <c r="O22" s="39">
        <v>2</v>
      </c>
      <c r="P22" s="55">
        <f t="shared" si="5"/>
        <v>24</v>
      </c>
      <c r="Q22" s="55">
        <f t="shared" si="6"/>
        <v>30</v>
      </c>
      <c r="R22" s="56" t="s">
        <v>130</v>
      </c>
      <c r="S22" s="29">
        <f>COUNTIF($D$4:$J$144,"NEG")</f>
        <v>0</v>
      </c>
      <c r="T22" s="29">
        <f t="shared" si="7"/>
        <v>24</v>
      </c>
    </row>
    <row r="23" spans="1:20">
      <c r="A23" s="24">
        <v>46256</v>
      </c>
      <c r="B23" s="4" t="s">
        <v>24</v>
      </c>
      <c r="C23" s="9">
        <f t="shared" si="8"/>
        <v>17</v>
      </c>
      <c r="D23" s="73"/>
      <c r="E23" s="73"/>
      <c r="F23" s="73"/>
      <c r="G23" s="18"/>
      <c r="H23" s="73"/>
      <c r="I23" s="73" t="s">
        <v>32</v>
      </c>
      <c r="J23" s="73" t="s">
        <v>32</v>
      </c>
      <c r="L23" s="32" t="s">
        <v>92</v>
      </c>
      <c r="M23" s="32"/>
      <c r="N23" s="62" t="s">
        <v>149</v>
      </c>
      <c r="O23" s="39">
        <v>2</v>
      </c>
      <c r="P23" s="55">
        <f t="shared" si="5"/>
        <v>24</v>
      </c>
      <c r="Q23" s="55">
        <f t="shared" si="6"/>
        <v>30</v>
      </c>
      <c r="R23" s="56" t="s">
        <v>70</v>
      </c>
      <c r="S23" s="29">
        <f>COUNTIF($D$4:$J$144,"SHRM")</f>
        <v>0</v>
      </c>
      <c r="T23" s="29">
        <f t="shared" si="7"/>
        <v>24</v>
      </c>
    </row>
    <row r="24" spans="1:20">
      <c r="A24" s="24">
        <v>46257</v>
      </c>
      <c r="B24" s="4" t="s">
        <v>25</v>
      </c>
      <c r="C24" s="9"/>
      <c r="D24" s="21"/>
      <c r="E24" s="21"/>
      <c r="F24" s="22"/>
      <c r="G24" s="6"/>
      <c r="H24" s="22"/>
      <c r="I24" s="21"/>
      <c r="J24" s="75"/>
      <c r="L24" s="19" t="s">
        <v>29</v>
      </c>
      <c r="M24" s="19"/>
      <c r="N24" s="37" t="s">
        <v>150</v>
      </c>
      <c r="O24" s="74">
        <v>2</v>
      </c>
      <c r="P24" s="55">
        <f t="shared" si="5"/>
        <v>24</v>
      </c>
      <c r="Q24" s="55">
        <f t="shared" si="6"/>
        <v>30</v>
      </c>
      <c r="R24" s="56" t="s">
        <v>71</v>
      </c>
      <c r="S24" s="29">
        <f>COUNTIF($D$4:$J$144,"CABA")</f>
        <v>0</v>
      </c>
      <c r="T24" s="29">
        <f t="shared" si="7"/>
        <v>24</v>
      </c>
    </row>
    <row r="25" spans="1:20">
      <c r="A25" s="5"/>
      <c r="D25" s="5"/>
      <c r="E25" s="5"/>
      <c r="F25" s="5"/>
      <c r="G25" s="5"/>
      <c r="H25" s="5"/>
      <c r="I25" s="5"/>
      <c r="J25" s="5"/>
      <c r="L25" s="19" t="s">
        <v>114</v>
      </c>
      <c r="M25" s="19"/>
      <c r="N25" s="37" t="s">
        <v>151</v>
      </c>
      <c r="O25" s="74">
        <v>2</v>
      </c>
      <c r="P25" s="55">
        <f t="shared" si="5"/>
        <v>24</v>
      </c>
      <c r="Q25" s="55">
        <f t="shared" si="6"/>
        <v>30</v>
      </c>
      <c r="R25" s="56" t="s">
        <v>130</v>
      </c>
      <c r="S25" s="29">
        <f>COUNTIF($D$4:$J$144,"DABA")</f>
        <v>0</v>
      </c>
      <c r="T25" s="29">
        <f t="shared" si="7"/>
        <v>24</v>
      </c>
    </row>
    <row r="26" spans="1:20">
      <c r="A26" s="5"/>
      <c r="D26" s="5"/>
      <c r="E26" s="5"/>
      <c r="F26" s="5"/>
      <c r="G26" s="5"/>
      <c r="H26" s="5"/>
      <c r="I26" s="5"/>
      <c r="J26" s="5"/>
      <c r="L26" s="19" t="s">
        <v>179</v>
      </c>
      <c r="M26" s="19"/>
      <c r="N26" s="71" t="s">
        <v>180</v>
      </c>
      <c r="O26" s="74">
        <v>2</v>
      </c>
      <c r="P26" s="55">
        <f t="shared" si="5"/>
        <v>24</v>
      </c>
      <c r="Q26" s="55">
        <f t="shared" si="6"/>
        <v>30</v>
      </c>
      <c r="R26" s="37" t="s">
        <v>201</v>
      </c>
      <c r="S26" s="29">
        <f>COUNTIF($D$4:$J$144,"DABA")</f>
        <v>0</v>
      </c>
      <c r="T26" s="29">
        <f t="shared" si="7"/>
        <v>24</v>
      </c>
    </row>
    <row r="27" spans="1:20">
      <c r="A27" s="5"/>
      <c r="D27" s="5"/>
      <c r="E27" s="5"/>
      <c r="F27" s="5"/>
      <c r="G27" s="5"/>
      <c r="H27" s="5"/>
      <c r="I27" s="5"/>
      <c r="J27" s="5"/>
      <c r="L27" s="19" t="s">
        <v>93</v>
      </c>
      <c r="M27" s="19"/>
      <c r="N27" s="37" t="s">
        <v>152</v>
      </c>
      <c r="O27" s="74">
        <v>2</v>
      </c>
      <c r="P27" s="55">
        <f t="shared" si="5"/>
        <v>24</v>
      </c>
      <c r="Q27" s="55">
        <f t="shared" si="6"/>
        <v>30</v>
      </c>
      <c r="R27" s="56" t="s">
        <v>72</v>
      </c>
      <c r="S27" s="29">
        <f>COUNTIF($D$4:$J$144,"BI")</f>
        <v>3</v>
      </c>
      <c r="T27" s="29">
        <f t="shared" si="7"/>
        <v>21</v>
      </c>
    </row>
    <row r="28" spans="1:20">
      <c r="A28" s="5"/>
      <c r="D28" s="5"/>
      <c r="E28" s="5"/>
      <c r="F28" s="5"/>
      <c r="G28" s="5"/>
      <c r="H28" s="5"/>
      <c r="I28" s="5"/>
      <c r="J28" s="5"/>
      <c r="L28" s="19" t="s">
        <v>94</v>
      </c>
      <c r="M28" s="19"/>
      <c r="N28" s="37" t="s">
        <v>153</v>
      </c>
      <c r="O28" s="74">
        <v>2</v>
      </c>
      <c r="P28" s="55">
        <f t="shared" ref="P28:P40" si="9">Q28/1.25</f>
        <v>24</v>
      </c>
      <c r="Q28" s="55">
        <f t="shared" ref="Q28:Q40" si="10">O28*15</f>
        <v>30</v>
      </c>
      <c r="R28" s="56" t="s">
        <v>73</v>
      </c>
      <c r="S28" s="29">
        <f t="shared" ref="S28:S65" si="11">COUNTIF($D$4:$J$144,"TA")</f>
        <v>0</v>
      </c>
      <c r="T28" s="29">
        <f t="shared" ref="T28:T40" si="12">P28-S28</f>
        <v>24</v>
      </c>
    </row>
    <row r="29" spans="1:20">
      <c r="A29" s="5"/>
      <c r="D29" s="5"/>
      <c r="E29" s="5"/>
      <c r="F29" s="5"/>
      <c r="G29" s="5"/>
      <c r="H29" s="5"/>
      <c r="I29" s="5"/>
      <c r="J29" s="5"/>
      <c r="L29" s="64" t="s">
        <v>115</v>
      </c>
      <c r="M29" s="64"/>
      <c r="N29" s="65" t="s">
        <v>154</v>
      </c>
      <c r="O29" s="39">
        <v>2</v>
      </c>
      <c r="P29" s="55">
        <f t="shared" si="9"/>
        <v>24</v>
      </c>
      <c r="Q29" s="55">
        <f t="shared" si="10"/>
        <v>30</v>
      </c>
      <c r="R29" s="56" t="s">
        <v>131</v>
      </c>
      <c r="S29" s="29">
        <f t="shared" si="11"/>
        <v>0</v>
      </c>
      <c r="T29" s="29">
        <f t="shared" si="12"/>
        <v>24</v>
      </c>
    </row>
    <row r="30" spans="1:20">
      <c r="A30" s="5"/>
      <c r="D30" s="5"/>
      <c r="E30" s="5"/>
      <c r="F30" s="5"/>
      <c r="G30" s="5"/>
      <c r="H30" s="5"/>
      <c r="I30" s="5"/>
      <c r="J30" s="5"/>
      <c r="L30" s="19" t="s">
        <v>118</v>
      </c>
      <c r="M30" s="19"/>
      <c r="N30" s="36" t="s">
        <v>155</v>
      </c>
      <c r="O30" s="39">
        <v>2</v>
      </c>
      <c r="P30" s="55">
        <f t="shared" si="9"/>
        <v>24</v>
      </c>
      <c r="Q30" s="55">
        <f t="shared" si="10"/>
        <v>30</v>
      </c>
      <c r="R30" s="56" t="s">
        <v>63</v>
      </c>
      <c r="S30" s="29">
        <f t="shared" si="11"/>
        <v>0</v>
      </c>
      <c r="T30" s="29">
        <f t="shared" si="12"/>
        <v>24</v>
      </c>
    </row>
    <row r="31" spans="1:20">
      <c r="A31" s="5"/>
      <c r="D31" s="5"/>
      <c r="E31" s="5"/>
      <c r="F31" s="5"/>
      <c r="G31" s="5"/>
      <c r="H31" s="5"/>
      <c r="I31" s="5"/>
      <c r="J31" s="5"/>
      <c r="L31" s="19" t="s">
        <v>95</v>
      </c>
      <c r="M31" s="19"/>
      <c r="N31" s="36" t="s">
        <v>156</v>
      </c>
      <c r="O31" s="39">
        <v>2</v>
      </c>
      <c r="P31" s="55">
        <f t="shared" si="9"/>
        <v>24</v>
      </c>
      <c r="Q31" s="55">
        <f t="shared" si="10"/>
        <v>30</v>
      </c>
      <c r="R31" s="76" t="s">
        <v>189</v>
      </c>
      <c r="S31" s="29">
        <f t="shared" si="11"/>
        <v>0</v>
      </c>
      <c r="T31" s="29">
        <f t="shared" si="12"/>
        <v>24</v>
      </c>
    </row>
    <row r="32" spans="1:20">
      <c r="A32" s="5"/>
      <c r="D32" s="5"/>
      <c r="E32" s="5"/>
      <c r="F32" s="5"/>
      <c r="G32" s="5"/>
      <c r="H32" s="5"/>
      <c r="I32" s="5"/>
      <c r="J32" s="5"/>
      <c r="L32" s="19" t="s">
        <v>126</v>
      </c>
      <c r="M32" s="19"/>
      <c r="N32" s="36" t="s">
        <v>157</v>
      </c>
      <c r="O32" s="39">
        <v>2</v>
      </c>
      <c r="P32" s="55">
        <f t="shared" si="9"/>
        <v>24</v>
      </c>
      <c r="Q32" s="55">
        <f t="shared" si="10"/>
        <v>30</v>
      </c>
      <c r="R32" s="56" t="s">
        <v>59</v>
      </c>
      <c r="S32" s="29">
        <f t="shared" si="11"/>
        <v>0</v>
      </c>
      <c r="T32" s="29">
        <f t="shared" si="12"/>
        <v>24</v>
      </c>
    </row>
    <row r="33" spans="1:20">
      <c r="A33" s="5"/>
      <c r="D33" s="5"/>
      <c r="E33" s="5"/>
      <c r="F33" s="5"/>
      <c r="G33" s="5"/>
      <c r="H33" s="5"/>
      <c r="I33" s="5"/>
      <c r="J33" s="5"/>
      <c r="L33" s="19" t="s">
        <v>116</v>
      </c>
      <c r="M33" s="19"/>
      <c r="N33" s="36" t="s">
        <v>158</v>
      </c>
      <c r="O33" s="39">
        <v>2</v>
      </c>
      <c r="P33" s="55">
        <f t="shared" si="9"/>
        <v>24</v>
      </c>
      <c r="Q33" s="55">
        <f t="shared" si="10"/>
        <v>30</v>
      </c>
      <c r="R33" s="56" t="s">
        <v>60</v>
      </c>
      <c r="S33" s="29">
        <f t="shared" si="11"/>
        <v>0</v>
      </c>
      <c r="T33" s="29">
        <f t="shared" si="12"/>
        <v>24</v>
      </c>
    </row>
    <row r="34" spans="1:20">
      <c r="A34" s="5"/>
      <c r="D34" s="5"/>
      <c r="E34" s="5"/>
      <c r="F34" s="5"/>
      <c r="G34" s="5"/>
      <c r="H34" s="5"/>
      <c r="I34" s="5"/>
      <c r="J34" s="5"/>
      <c r="L34" s="19" t="s">
        <v>96</v>
      </c>
      <c r="M34" s="19"/>
      <c r="N34" s="36" t="s">
        <v>159</v>
      </c>
      <c r="O34" s="39">
        <v>2</v>
      </c>
      <c r="P34" s="55">
        <f t="shared" si="9"/>
        <v>24</v>
      </c>
      <c r="Q34" s="55">
        <f t="shared" si="10"/>
        <v>30</v>
      </c>
      <c r="R34" s="56" t="s">
        <v>27</v>
      </c>
      <c r="S34" s="29">
        <f t="shared" si="11"/>
        <v>0</v>
      </c>
      <c r="T34" s="29">
        <f t="shared" si="12"/>
        <v>24</v>
      </c>
    </row>
    <row r="35" spans="1:20">
      <c r="A35" s="5"/>
      <c r="D35" s="5"/>
      <c r="E35" s="5"/>
      <c r="F35" s="5"/>
      <c r="G35" s="5"/>
      <c r="H35" s="5"/>
      <c r="I35" s="5"/>
      <c r="J35" s="5"/>
      <c r="L35" s="19" t="s">
        <v>119</v>
      </c>
      <c r="M35" s="19"/>
      <c r="N35" s="36" t="s">
        <v>160</v>
      </c>
      <c r="O35" s="39">
        <v>2</v>
      </c>
      <c r="P35" s="55">
        <f t="shared" si="9"/>
        <v>24</v>
      </c>
      <c r="Q35" s="55">
        <f t="shared" si="10"/>
        <v>30</v>
      </c>
      <c r="R35" s="56" t="s">
        <v>30</v>
      </c>
      <c r="S35" s="29">
        <f t="shared" si="11"/>
        <v>0</v>
      </c>
      <c r="T35" s="29">
        <f t="shared" si="12"/>
        <v>24</v>
      </c>
    </row>
    <row r="36" spans="1:20">
      <c r="A36" s="5"/>
      <c r="D36" s="5"/>
      <c r="E36" s="5"/>
      <c r="F36" s="5"/>
      <c r="G36" s="5"/>
      <c r="H36" s="5"/>
      <c r="I36" s="5"/>
      <c r="J36" s="5"/>
      <c r="L36" s="19" t="s">
        <v>26</v>
      </c>
      <c r="M36" s="19"/>
      <c r="N36" s="36" t="s">
        <v>161</v>
      </c>
      <c r="O36" s="39">
        <v>2</v>
      </c>
      <c r="P36" s="55">
        <f t="shared" si="9"/>
        <v>24</v>
      </c>
      <c r="Q36" s="55">
        <f t="shared" si="10"/>
        <v>30</v>
      </c>
      <c r="R36" s="56" t="s">
        <v>69</v>
      </c>
      <c r="S36" s="29">
        <f t="shared" si="11"/>
        <v>0</v>
      </c>
      <c r="T36" s="29">
        <f t="shared" si="12"/>
        <v>24</v>
      </c>
    </row>
    <row r="37" spans="1:20">
      <c r="A37" s="5"/>
      <c r="D37" s="5"/>
      <c r="E37" s="5"/>
      <c r="F37" s="5"/>
      <c r="G37" s="5"/>
      <c r="H37" s="5"/>
      <c r="I37" s="5"/>
      <c r="J37" s="5"/>
      <c r="L37" s="19" t="s">
        <v>97</v>
      </c>
      <c r="M37" s="19"/>
      <c r="N37" s="36" t="s">
        <v>162</v>
      </c>
      <c r="O37" s="39">
        <v>2</v>
      </c>
      <c r="P37" s="55">
        <f t="shared" si="9"/>
        <v>24</v>
      </c>
      <c r="Q37" s="55">
        <f t="shared" si="10"/>
        <v>30</v>
      </c>
      <c r="R37" s="56" t="s">
        <v>74</v>
      </c>
      <c r="S37" s="29">
        <f t="shared" si="11"/>
        <v>0</v>
      </c>
      <c r="T37" s="29">
        <f t="shared" si="12"/>
        <v>24</v>
      </c>
    </row>
    <row r="38" spans="1:20">
      <c r="A38" s="5"/>
      <c r="D38" s="5"/>
      <c r="E38" s="5"/>
      <c r="F38" s="5"/>
      <c r="G38" s="5"/>
      <c r="H38" s="5"/>
      <c r="I38" s="5"/>
      <c r="J38" s="5"/>
      <c r="L38" s="19" t="s">
        <v>98</v>
      </c>
      <c r="M38" s="19"/>
      <c r="N38" s="36" t="s">
        <v>163</v>
      </c>
      <c r="O38" s="39">
        <v>2</v>
      </c>
      <c r="P38" s="55">
        <f t="shared" si="9"/>
        <v>24</v>
      </c>
      <c r="Q38" s="55">
        <f t="shared" si="10"/>
        <v>30</v>
      </c>
      <c r="R38" s="56" t="s">
        <v>75</v>
      </c>
      <c r="S38" s="29">
        <f t="shared" si="11"/>
        <v>0</v>
      </c>
      <c r="T38" s="29">
        <f t="shared" si="12"/>
        <v>24</v>
      </c>
    </row>
    <row r="39" spans="1:20">
      <c r="A39" s="5"/>
      <c r="D39" s="5"/>
      <c r="E39" s="5"/>
      <c r="F39" s="5"/>
      <c r="G39" s="5"/>
      <c r="H39" s="5"/>
      <c r="I39" s="5"/>
      <c r="J39" s="5"/>
      <c r="L39" s="19" t="s">
        <v>28</v>
      </c>
      <c r="M39" s="19"/>
      <c r="N39" s="36" t="s">
        <v>164</v>
      </c>
      <c r="O39" s="39">
        <v>2</v>
      </c>
      <c r="P39" s="55">
        <f t="shared" si="9"/>
        <v>24</v>
      </c>
      <c r="Q39" s="55">
        <f t="shared" si="10"/>
        <v>30</v>
      </c>
      <c r="R39" s="37" t="s">
        <v>185</v>
      </c>
      <c r="S39" s="29">
        <f t="shared" si="11"/>
        <v>0</v>
      </c>
      <c r="T39" s="29">
        <f t="shared" si="12"/>
        <v>24</v>
      </c>
    </row>
    <row r="40" spans="1:20">
      <c r="A40" s="5"/>
      <c r="D40" s="5"/>
      <c r="E40" s="5"/>
      <c r="F40" s="5"/>
      <c r="G40" s="5"/>
      <c r="H40" s="5"/>
      <c r="I40" s="5"/>
      <c r="J40" s="5"/>
      <c r="L40" s="79"/>
      <c r="M40" s="79"/>
      <c r="N40" s="80" t="s">
        <v>204</v>
      </c>
      <c r="O40" s="81">
        <v>2</v>
      </c>
      <c r="P40" s="82">
        <f t="shared" si="9"/>
        <v>24</v>
      </c>
      <c r="Q40" s="82">
        <f t="shared" si="10"/>
        <v>30</v>
      </c>
      <c r="R40" s="83" t="s">
        <v>211</v>
      </c>
      <c r="S40" s="84">
        <f t="shared" si="11"/>
        <v>0</v>
      </c>
      <c r="T40" s="84">
        <f t="shared" si="12"/>
        <v>24</v>
      </c>
    </row>
    <row r="41" spans="1:20">
      <c r="A41" s="5"/>
      <c r="D41" s="5"/>
      <c r="E41" s="5"/>
      <c r="F41" s="5"/>
      <c r="G41" s="5"/>
      <c r="H41" s="5"/>
      <c r="I41" s="5"/>
      <c r="J41" s="5"/>
      <c r="L41" s="19" t="s">
        <v>127</v>
      </c>
      <c r="M41" s="19"/>
      <c r="N41" s="42" t="s">
        <v>165</v>
      </c>
      <c r="O41" s="41">
        <v>2</v>
      </c>
      <c r="P41" s="55">
        <f t="shared" ref="P41:P60" si="13">Q41/1.25</f>
        <v>24</v>
      </c>
      <c r="Q41" s="55">
        <f t="shared" ref="Q41:Q60" si="14">O41*15</f>
        <v>30</v>
      </c>
      <c r="R41" s="56"/>
      <c r="S41" s="29">
        <f t="shared" si="11"/>
        <v>0</v>
      </c>
      <c r="T41" s="29">
        <f t="shared" ref="T41:T60" si="15">P41-S41</f>
        <v>24</v>
      </c>
    </row>
    <row r="42" spans="1:20">
      <c r="A42" s="5"/>
      <c r="D42" s="5"/>
      <c r="E42" s="5"/>
      <c r="F42" s="5"/>
      <c r="G42" s="5"/>
      <c r="H42" s="5"/>
      <c r="I42" s="5"/>
      <c r="J42" s="5"/>
      <c r="L42" s="19" t="s">
        <v>99</v>
      </c>
      <c r="M42" s="19"/>
      <c r="N42" s="42" t="s">
        <v>166</v>
      </c>
      <c r="O42" s="41">
        <v>2</v>
      </c>
      <c r="P42" s="55">
        <f t="shared" si="13"/>
        <v>24</v>
      </c>
      <c r="Q42" s="55">
        <f t="shared" si="14"/>
        <v>30</v>
      </c>
      <c r="R42" s="56"/>
      <c r="S42" s="29">
        <f t="shared" si="11"/>
        <v>0</v>
      </c>
      <c r="T42" s="29">
        <f t="shared" si="15"/>
        <v>24</v>
      </c>
    </row>
    <row r="43" spans="1:20">
      <c r="A43" s="5"/>
      <c r="D43" s="5"/>
      <c r="E43" s="5"/>
      <c r="F43" s="5"/>
      <c r="G43" s="5"/>
      <c r="H43" s="5"/>
      <c r="I43" s="5"/>
      <c r="J43" s="5"/>
      <c r="L43" s="19" t="s">
        <v>100</v>
      </c>
      <c r="M43" s="19"/>
      <c r="N43" s="42" t="s">
        <v>167</v>
      </c>
      <c r="O43" s="41">
        <v>2</v>
      </c>
      <c r="P43" s="55">
        <f t="shared" si="13"/>
        <v>24</v>
      </c>
      <c r="Q43" s="55">
        <f t="shared" si="14"/>
        <v>30</v>
      </c>
      <c r="R43" s="56"/>
      <c r="S43" s="29">
        <f t="shared" si="11"/>
        <v>0</v>
      </c>
      <c r="T43" s="29">
        <f t="shared" si="15"/>
        <v>24</v>
      </c>
    </row>
    <row r="44" spans="1:20">
      <c r="A44" s="5"/>
      <c r="D44" s="5"/>
      <c r="E44" s="5"/>
      <c r="F44" s="5"/>
      <c r="G44" s="5"/>
      <c r="H44" s="5"/>
      <c r="I44" s="5"/>
      <c r="J44" s="5"/>
      <c r="L44" s="19" t="s">
        <v>101</v>
      </c>
      <c r="M44" s="19"/>
      <c r="N44" s="42" t="s">
        <v>168</v>
      </c>
      <c r="O44" s="41">
        <v>2</v>
      </c>
      <c r="P44" s="55">
        <f t="shared" si="13"/>
        <v>24</v>
      </c>
      <c r="Q44" s="55">
        <f t="shared" si="14"/>
        <v>30</v>
      </c>
      <c r="R44" s="56"/>
      <c r="S44" s="29">
        <f t="shared" si="11"/>
        <v>0</v>
      </c>
      <c r="T44" s="29">
        <f t="shared" si="15"/>
        <v>24</v>
      </c>
    </row>
    <row r="45" spans="1:20">
      <c r="A45" s="5"/>
      <c r="D45" s="5"/>
      <c r="E45" s="5"/>
      <c r="F45" s="5"/>
      <c r="G45" s="5"/>
      <c r="H45" s="5"/>
      <c r="I45" s="5"/>
      <c r="J45" s="5"/>
      <c r="L45" s="19" t="s">
        <v>102</v>
      </c>
      <c r="M45" s="19"/>
      <c r="N45" s="42" t="s">
        <v>169</v>
      </c>
      <c r="O45" s="39">
        <v>2</v>
      </c>
      <c r="P45" s="55">
        <f t="shared" si="13"/>
        <v>24</v>
      </c>
      <c r="Q45" s="55">
        <f t="shared" si="14"/>
        <v>30</v>
      </c>
      <c r="R45" s="56" t="s">
        <v>182</v>
      </c>
      <c r="S45" s="29">
        <f t="shared" si="11"/>
        <v>0</v>
      </c>
      <c r="T45" s="29">
        <f t="shared" si="15"/>
        <v>24</v>
      </c>
    </row>
    <row r="46" spans="1:20">
      <c r="A46" s="5"/>
      <c r="D46" s="5"/>
      <c r="E46" s="5"/>
      <c r="F46" s="5"/>
      <c r="G46" s="5"/>
      <c r="H46" s="5"/>
      <c r="I46" s="5"/>
      <c r="J46" s="5"/>
      <c r="L46" s="19" t="s">
        <v>103</v>
      </c>
      <c r="M46" s="19"/>
      <c r="N46" s="42" t="s">
        <v>170</v>
      </c>
      <c r="O46" s="39">
        <v>2</v>
      </c>
      <c r="P46" s="55">
        <f t="shared" si="13"/>
        <v>24</v>
      </c>
      <c r="Q46" s="55">
        <f t="shared" si="14"/>
        <v>30</v>
      </c>
      <c r="R46" s="56" t="s">
        <v>76</v>
      </c>
      <c r="S46" s="29">
        <f t="shared" si="11"/>
        <v>0</v>
      </c>
      <c r="T46" s="29">
        <f t="shared" si="15"/>
        <v>24</v>
      </c>
    </row>
    <row r="47" spans="1:20">
      <c r="A47" s="5"/>
      <c r="D47" s="5"/>
      <c r="E47" s="5"/>
      <c r="F47" s="5"/>
      <c r="G47" s="5"/>
      <c r="H47" s="5"/>
      <c r="I47" s="5"/>
      <c r="J47" s="5"/>
      <c r="L47" s="19" t="s">
        <v>104</v>
      </c>
      <c r="M47" s="19"/>
      <c r="N47" s="36" t="s">
        <v>171</v>
      </c>
      <c r="O47" s="39">
        <v>2</v>
      </c>
      <c r="P47" s="55">
        <f t="shared" si="13"/>
        <v>24</v>
      </c>
      <c r="Q47" s="55">
        <f t="shared" si="14"/>
        <v>30</v>
      </c>
      <c r="R47" s="56" t="s">
        <v>72</v>
      </c>
      <c r="S47" s="29">
        <f t="shared" si="11"/>
        <v>0</v>
      </c>
      <c r="T47" s="29">
        <f t="shared" si="15"/>
        <v>24</v>
      </c>
    </row>
    <row r="48" spans="1:20">
      <c r="A48" s="5"/>
      <c r="D48" s="5"/>
      <c r="E48" s="5"/>
      <c r="F48" s="5"/>
      <c r="G48" s="5"/>
      <c r="H48" s="5"/>
      <c r="I48" s="5"/>
      <c r="J48" s="5"/>
      <c r="L48" s="19" t="s">
        <v>105</v>
      </c>
      <c r="M48" s="19"/>
      <c r="N48" s="36" t="s">
        <v>172</v>
      </c>
      <c r="O48" s="39">
        <v>2</v>
      </c>
      <c r="P48" s="55">
        <f t="shared" si="13"/>
        <v>24</v>
      </c>
      <c r="Q48" s="55">
        <f t="shared" si="14"/>
        <v>30</v>
      </c>
      <c r="R48" s="56" t="s">
        <v>77</v>
      </c>
      <c r="S48" s="29">
        <f t="shared" si="11"/>
        <v>0</v>
      </c>
      <c r="T48" s="29">
        <f t="shared" si="15"/>
        <v>24</v>
      </c>
    </row>
    <row r="49" spans="1:20">
      <c r="A49" s="5"/>
      <c r="D49" s="5"/>
      <c r="E49" s="5"/>
      <c r="F49" s="5"/>
      <c r="G49" s="5"/>
      <c r="H49" s="5"/>
      <c r="I49" s="5"/>
      <c r="J49" s="5"/>
      <c r="L49" s="19" t="s">
        <v>128</v>
      </c>
      <c r="M49" s="19"/>
      <c r="N49" s="36" t="s">
        <v>173</v>
      </c>
      <c r="O49" s="39">
        <v>2</v>
      </c>
      <c r="P49" s="55">
        <f t="shared" si="13"/>
        <v>24</v>
      </c>
      <c r="Q49" s="55">
        <f t="shared" si="14"/>
        <v>30</v>
      </c>
      <c r="R49" s="56" t="s">
        <v>78</v>
      </c>
      <c r="S49" s="29">
        <f t="shared" si="11"/>
        <v>0</v>
      </c>
      <c r="T49" s="29">
        <f t="shared" si="15"/>
        <v>24</v>
      </c>
    </row>
    <row r="50" spans="1:20">
      <c r="A50" s="5"/>
      <c r="D50" s="5"/>
      <c r="E50" s="5"/>
      <c r="F50" s="5"/>
      <c r="G50" s="5"/>
      <c r="H50" s="5"/>
      <c r="I50" s="5"/>
      <c r="J50" s="5"/>
      <c r="L50" s="19"/>
      <c r="M50" s="19"/>
      <c r="N50" s="36" t="s">
        <v>174</v>
      </c>
      <c r="O50" s="39">
        <v>2</v>
      </c>
      <c r="P50" s="55">
        <f t="shared" si="13"/>
        <v>24</v>
      </c>
      <c r="Q50" s="55">
        <f t="shared" si="14"/>
        <v>30</v>
      </c>
      <c r="R50" s="56" t="s">
        <v>79</v>
      </c>
      <c r="S50" s="29">
        <f t="shared" si="11"/>
        <v>0</v>
      </c>
      <c r="T50" s="29">
        <f t="shared" si="15"/>
        <v>24</v>
      </c>
    </row>
    <row r="51" spans="1:20">
      <c r="A51" s="5"/>
      <c r="D51" s="5"/>
      <c r="E51" s="5"/>
      <c r="F51" s="5"/>
      <c r="G51" s="5"/>
      <c r="H51" s="5"/>
      <c r="I51" s="5"/>
      <c r="J51" s="5"/>
      <c r="L51" s="32"/>
      <c r="M51" s="32" t="s">
        <v>57</v>
      </c>
      <c r="N51" s="43" t="s">
        <v>45</v>
      </c>
      <c r="O51" s="44">
        <v>3</v>
      </c>
      <c r="P51" s="57">
        <f t="shared" si="13"/>
        <v>36</v>
      </c>
      <c r="Q51" s="57">
        <f t="shared" si="14"/>
        <v>45</v>
      </c>
      <c r="R51" s="38" t="s">
        <v>58</v>
      </c>
      <c r="S51" s="30">
        <f t="shared" si="11"/>
        <v>0</v>
      </c>
      <c r="T51" s="30">
        <f t="shared" si="15"/>
        <v>36</v>
      </c>
    </row>
    <row r="52" spans="1:20">
      <c r="A52" s="5"/>
      <c r="D52" s="5"/>
      <c r="E52" s="5"/>
      <c r="F52" s="5"/>
      <c r="G52" s="5"/>
      <c r="H52" s="5"/>
      <c r="I52" s="5"/>
      <c r="J52" s="5"/>
      <c r="L52" s="19"/>
      <c r="M52" s="19" t="s">
        <v>57</v>
      </c>
      <c r="N52" s="45" t="s">
        <v>56</v>
      </c>
      <c r="O52" s="46">
        <v>4</v>
      </c>
      <c r="P52" s="55">
        <f t="shared" si="13"/>
        <v>48</v>
      </c>
      <c r="Q52" s="55">
        <f t="shared" si="14"/>
        <v>60</v>
      </c>
      <c r="R52" s="38"/>
      <c r="S52" s="29">
        <f t="shared" si="11"/>
        <v>0</v>
      </c>
      <c r="T52" s="29">
        <f t="shared" si="15"/>
        <v>48</v>
      </c>
    </row>
    <row r="53" spans="1:20">
      <c r="A53" s="5"/>
      <c r="D53" s="5"/>
      <c r="E53" s="5"/>
      <c r="F53" s="5"/>
      <c r="G53" s="5"/>
      <c r="H53" s="5"/>
      <c r="I53" s="5"/>
      <c r="J53" s="5"/>
      <c r="L53" s="19" t="s">
        <v>126</v>
      </c>
      <c r="M53" s="19" t="s">
        <v>57</v>
      </c>
      <c r="N53" s="47" t="s">
        <v>39</v>
      </c>
      <c r="O53" s="46">
        <v>3</v>
      </c>
      <c r="P53" s="55">
        <f t="shared" si="13"/>
        <v>36</v>
      </c>
      <c r="Q53" s="55">
        <f t="shared" si="14"/>
        <v>45</v>
      </c>
      <c r="R53" s="38" t="s">
        <v>59</v>
      </c>
      <c r="S53" s="29">
        <f t="shared" si="11"/>
        <v>0</v>
      </c>
      <c r="T53" s="29">
        <f t="shared" si="15"/>
        <v>36</v>
      </c>
    </row>
    <row r="54" spans="1:20">
      <c r="A54" s="5"/>
      <c r="D54" s="5"/>
      <c r="E54" s="5"/>
      <c r="F54" s="5"/>
      <c r="G54" s="5"/>
      <c r="H54" s="5"/>
      <c r="I54" s="5"/>
      <c r="J54" s="5"/>
      <c r="L54" s="19" t="s">
        <v>116</v>
      </c>
      <c r="M54" s="19" t="s">
        <v>57</v>
      </c>
      <c r="N54" s="47" t="s">
        <v>40</v>
      </c>
      <c r="O54" s="46">
        <v>3</v>
      </c>
      <c r="P54" s="55">
        <f t="shared" si="13"/>
        <v>36</v>
      </c>
      <c r="Q54" s="55">
        <f t="shared" si="14"/>
        <v>45</v>
      </c>
      <c r="R54" s="38" t="s">
        <v>60</v>
      </c>
      <c r="S54" s="29">
        <f t="shared" si="11"/>
        <v>0</v>
      </c>
      <c r="T54" s="29">
        <f t="shared" si="15"/>
        <v>36</v>
      </c>
    </row>
    <row r="55" spans="1:20">
      <c r="A55" s="5"/>
      <c r="D55" s="5"/>
      <c r="E55" s="5"/>
      <c r="F55" s="5"/>
      <c r="G55" s="5"/>
      <c r="H55" s="5"/>
      <c r="I55" s="5"/>
      <c r="J55" s="5"/>
      <c r="L55" s="19" t="s">
        <v>106</v>
      </c>
      <c r="M55" s="19" t="s">
        <v>57</v>
      </c>
      <c r="N55" s="47" t="s">
        <v>46</v>
      </c>
      <c r="O55" s="46">
        <v>3</v>
      </c>
      <c r="P55" s="55">
        <f t="shared" si="13"/>
        <v>36</v>
      </c>
      <c r="Q55" s="55">
        <f t="shared" si="14"/>
        <v>45</v>
      </c>
      <c r="R55" s="38" t="s">
        <v>61</v>
      </c>
      <c r="S55" s="29">
        <f t="shared" si="11"/>
        <v>0</v>
      </c>
      <c r="T55" s="29">
        <f t="shared" si="15"/>
        <v>36</v>
      </c>
    </row>
    <row r="56" spans="1:20">
      <c r="A56" s="5"/>
      <c r="D56" s="5"/>
      <c r="E56" s="5"/>
      <c r="F56" s="5"/>
      <c r="G56" s="5"/>
      <c r="H56" s="5"/>
      <c r="I56" s="5"/>
      <c r="J56" s="5"/>
      <c r="L56" s="19" t="s">
        <v>107</v>
      </c>
      <c r="M56" s="19" t="s">
        <v>57</v>
      </c>
      <c r="N56" s="47" t="s">
        <v>47</v>
      </c>
      <c r="O56" s="46">
        <v>3</v>
      </c>
      <c r="P56" s="55">
        <f t="shared" si="13"/>
        <v>36</v>
      </c>
      <c r="Q56" s="55">
        <f t="shared" si="14"/>
        <v>45</v>
      </c>
      <c r="R56" s="38" t="s">
        <v>61</v>
      </c>
      <c r="S56" s="29">
        <f t="shared" si="11"/>
        <v>0</v>
      </c>
      <c r="T56" s="29">
        <f t="shared" si="15"/>
        <v>36</v>
      </c>
    </row>
    <row r="57" spans="1:20">
      <c r="A57" s="5"/>
      <c r="D57" s="5"/>
      <c r="E57" s="5"/>
      <c r="F57" s="5"/>
      <c r="G57" s="5"/>
      <c r="H57" s="5"/>
      <c r="I57" s="5"/>
      <c r="J57" s="5"/>
      <c r="L57" s="19" t="s">
        <v>108</v>
      </c>
      <c r="M57" s="19" t="s">
        <v>57</v>
      </c>
      <c r="N57" s="45" t="s">
        <v>48</v>
      </c>
      <c r="O57" s="46">
        <v>3</v>
      </c>
      <c r="P57" s="55">
        <f t="shared" si="13"/>
        <v>36</v>
      </c>
      <c r="Q57" s="55">
        <f t="shared" si="14"/>
        <v>45</v>
      </c>
      <c r="R57" s="38" t="s">
        <v>62</v>
      </c>
      <c r="S57" s="29">
        <f t="shared" si="11"/>
        <v>0</v>
      </c>
      <c r="T57" s="29">
        <f t="shared" si="15"/>
        <v>36</v>
      </c>
    </row>
    <row r="58" spans="1:20">
      <c r="A58" s="5"/>
      <c r="D58" s="5"/>
      <c r="E58" s="5"/>
      <c r="F58" s="5"/>
      <c r="G58" s="5"/>
      <c r="H58" s="5"/>
      <c r="I58" s="5"/>
      <c r="J58" s="5"/>
      <c r="L58" s="19" t="s">
        <v>118</v>
      </c>
      <c r="M58" s="19" t="s">
        <v>57</v>
      </c>
      <c r="N58" s="45" t="s">
        <v>38</v>
      </c>
      <c r="O58" s="46">
        <v>3</v>
      </c>
      <c r="P58" s="55">
        <f t="shared" si="13"/>
        <v>36</v>
      </c>
      <c r="Q58" s="55">
        <f t="shared" si="14"/>
        <v>45</v>
      </c>
      <c r="R58" s="38" t="s">
        <v>63</v>
      </c>
      <c r="S58" s="29">
        <f t="shared" si="11"/>
        <v>0</v>
      </c>
      <c r="T58" s="29">
        <f t="shared" si="15"/>
        <v>36</v>
      </c>
    </row>
    <row r="59" spans="1:20">
      <c r="A59" s="5"/>
      <c r="D59" s="5"/>
      <c r="E59" s="5"/>
      <c r="F59" s="5"/>
      <c r="G59" s="5"/>
      <c r="H59" s="5"/>
      <c r="I59" s="5"/>
      <c r="J59" s="5"/>
      <c r="L59" s="19" t="s">
        <v>115</v>
      </c>
      <c r="M59" s="19" t="s">
        <v>57</v>
      </c>
      <c r="N59" s="45" t="s">
        <v>37</v>
      </c>
      <c r="O59" s="46">
        <v>3</v>
      </c>
      <c r="P59" s="55">
        <f t="shared" si="13"/>
        <v>36</v>
      </c>
      <c r="Q59" s="55">
        <f t="shared" si="14"/>
        <v>45</v>
      </c>
      <c r="R59" s="38" t="s">
        <v>131</v>
      </c>
      <c r="S59" s="29">
        <f t="shared" si="11"/>
        <v>0</v>
      </c>
      <c r="T59" s="29">
        <f t="shared" si="15"/>
        <v>36</v>
      </c>
    </row>
    <row r="60" spans="1:20">
      <c r="A60" s="5"/>
      <c r="D60" s="5"/>
      <c r="E60" s="5"/>
      <c r="F60" s="5"/>
      <c r="G60" s="5"/>
      <c r="H60" s="5"/>
      <c r="I60" s="5"/>
      <c r="J60" s="5"/>
      <c r="L60" s="19" t="s">
        <v>109</v>
      </c>
      <c r="M60" s="19" t="s">
        <v>57</v>
      </c>
      <c r="N60" s="45" t="s">
        <v>49</v>
      </c>
      <c r="O60" s="46">
        <v>3</v>
      </c>
      <c r="P60" s="55">
        <f t="shared" si="13"/>
        <v>36</v>
      </c>
      <c r="Q60" s="55">
        <f t="shared" si="14"/>
        <v>45</v>
      </c>
      <c r="R60" s="38" t="s">
        <v>61</v>
      </c>
      <c r="S60" s="29">
        <f t="shared" si="11"/>
        <v>0</v>
      </c>
      <c r="T60" s="29">
        <f t="shared" si="15"/>
        <v>36</v>
      </c>
    </row>
    <row r="61" spans="1:20">
      <c r="A61" s="5"/>
      <c r="D61" s="5"/>
      <c r="E61" s="5"/>
      <c r="F61" s="5"/>
      <c r="G61" s="5"/>
      <c r="H61" s="5"/>
      <c r="I61" s="5"/>
      <c r="J61" s="5"/>
      <c r="L61" s="19" t="s">
        <v>110</v>
      </c>
      <c r="M61" s="19" t="s">
        <v>57</v>
      </c>
      <c r="N61" s="47" t="s">
        <v>50</v>
      </c>
      <c r="O61" s="46">
        <v>3</v>
      </c>
      <c r="P61" s="55">
        <f t="shared" ref="P61:P65" si="16">Q61/1.25</f>
        <v>36</v>
      </c>
      <c r="Q61" s="55">
        <f t="shared" ref="Q61:Q65" si="17">O61*15</f>
        <v>45</v>
      </c>
      <c r="R61" s="38" t="s">
        <v>60</v>
      </c>
      <c r="S61" s="29">
        <f t="shared" si="11"/>
        <v>0</v>
      </c>
      <c r="T61" s="29">
        <f t="shared" ref="T61:T65" si="18">P61-S61</f>
        <v>36</v>
      </c>
    </row>
    <row r="62" spans="1:20">
      <c r="A62" s="5"/>
      <c r="D62" s="5"/>
      <c r="E62" s="5"/>
      <c r="F62" s="5"/>
      <c r="G62" s="5"/>
      <c r="H62" s="5"/>
      <c r="I62" s="5"/>
      <c r="J62" s="5"/>
      <c r="L62" s="19" t="s">
        <v>111</v>
      </c>
      <c r="M62" s="19" t="s">
        <v>57</v>
      </c>
      <c r="N62" s="47" t="s">
        <v>51</v>
      </c>
      <c r="O62" s="46">
        <v>3</v>
      </c>
      <c r="P62" s="55">
        <f t="shared" si="16"/>
        <v>36</v>
      </c>
      <c r="Q62" s="55">
        <f t="shared" si="17"/>
        <v>45</v>
      </c>
      <c r="R62" s="58" t="s">
        <v>64</v>
      </c>
      <c r="S62" s="29">
        <f t="shared" si="11"/>
        <v>0</v>
      </c>
      <c r="T62" s="29">
        <f t="shared" si="18"/>
        <v>36</v>
      </c>
    </row>
    <row r="63" spans="1:20">
      <c r="A63" s="5"/>
      <c r="D63" s="5"/>
      <c r="E63" s="5"/>
      <c r="F63" s="5"/>
      <c r="G63" s="5"/>
      <c r="H63" s="5"/>
      <c r="I63" s="5"/>
      <c r="J63" s="5"/>
      <c r="L63" s="19" t="s">
        <v>112</v>
      </c>
      <c r="M63" s="19" t="s">
        <v>57</v>
      </c>
      <c r="N63" s="47" t="s">
        <v>52</v>
      </c>
      <c r="O63" s="48">
        <v>3</v>
      </c>
      <c r="P63" s="55">
        <f t="shared" si="16"/>
        <v>36</v>
      </c>
      <c r="Q63" s="55">
        <f t="shared" si="17"/>
        <v>45</v>
      </c>
      <c r="R63" s="59" t="s">
        <v>64</v>
      </c>
      <c r="S63" s="29">
        <f t="shared" si="11"/>
        <v>0</v>
      </c>
      <c r="T63" s="29">
        <f t="shared" si="18"/>
        <v>36</v>
      </c>
    </row>
    <row r="64" spans="1:20">
      <c r="A64" s="5"/>
      <c r="D64" s="5"/>
      <c r="E64" s="5"/>
      <c r="F64" s="5"/>
      <c r="G64" s="5"/>
      <c r="H64" s="5"/>
      <c r="I64" s="5"/>
      <c r="J64" s="5"/>
      <c r="L64" s="19" t="s">
        <v>113</v>
      </c>
      <c r="M64" s="19" t="s">
        <v>57</v>
      </c>
      <c r="N64" s="45" t="s">
        <v>53</v>
      </c>
      <c r="O64" s="46">
        <v>3</v>
      </c>
      <c r="P64" s="55">
        <f t="shared" si="16"/>
        <v>36</v>
      </c>
      <c r="Q64" s="55">
        <f t="shared" si="17"/>
        <v>45</v>
      </c>
      <c r="R64" s="38" t="s">
        <v>132</v>
      </c>
      <c r="S64" s="29">
        <f t="shared" si="11"/>
        <v>0</v>
      </c>
      <c r="T64" s="29">
        <f t="shared" si="18"/>
        <v>36</v>
      </c>
    </row>
    <row r="65" spans="1:20">
      <c r="A65" s="5"/>
      <c r="D65" s="5"/>
      <c r="E65" s="5"/>
      <c r="F65" s="5"/>
      <c r="G65" s="5"/>
      <c r="H65" s="5"/>
      <c r="I65" s="5"/>
      <c r="J65" s="5"/>
      <c r="L65" s="19" t="s">
        <v>103</v>
      </c>
      <c r="M65" s="19" t="s">
        <v>57</v>
      </c>
      <c r="N65" s="45" t="s">
        <v>54</v>
      </c>
      <c r="O65" s="46">
        <v>3</v>
      </c>
      <c r="P65" s="55">
        <f t="shared" si="16"/>
        <v>36</v>
      </c>
      <c r="Q65" s="55">
        <f t="shared" si="17"/>
        <v>45</v>
      </c>
      <c r="R65" s="38" t="s">
        <v>133</v>
      </c>
      <c r="S65" s="29">
        <f t="shared" si="11"/>
        <v>0</v>
      </c>
      <c r="T65" s="29">
        <f t="shared" si="18"/>
        <v>36</v>
      </c>
    </row>
    <row r="66" spans="1:20">
      <c r="A66" s="5"/>
      <c r="D66" s="5"/>
      <c r="E66" s="5"/>
      <c r="F66" s="5"/>
      <c r="G66" s="5"/>
      <c r="H66" s="5"/>
      <c r="I66" s="5"/>
      <c r="J66" s="5"/>
      <c r="L66" s="49"/>
      <c r="M66" s="49"/>
      <c r="O66" s="51"/>
      <c r="P66" s="52"/>
      <c r="Q66" s="52"/>
      <c r="R66" s="50"/>
      <c r="S66" s="52"/>
      <c r="T66" s="52"/>
    </row>
    <row r="67" spans="1:20">
      <c r="A67" s="5"/>
      <c r="D67" s="5"/>
      <c r="E67" s="5"/>
      <c r="F67" s="5"/>
      <c r="G67" s="5"/>
      <c r="H67" s="5"/>
      <c r="I67" s="5"/>
      <c r="J67" s="5"/>
      <c r="L67" s="19"/>
      <c r="M67" s="60"/>
      <c r="N67" s="60" t="s">
        <v>31</v>
      </c>
      <c r="O67" s="60">
        <f>SUM(O3:O65)</f>
        <v>141</v>
      </c>
      <c r="P67" s="60">
        <f>SUM(P3:P65)</f>
        <v>1692</v>
      </c>
      <c r="Q67" s="60">
        <f>SUM(Q3:Q65)</f>
        <v>2115</v>
      </c>
      <c r="R67" s="60"/>
      <c r="S67" s="60">
        <f>SUM(S3:S65)</f>
        <v>22</v>
      </c>
      <c r="T67" s="60">
        <f>SUM(T3:T65)</f>
        <v>1670</v>
      </c>
    </row>
    <row r="68" spans="1:20">
      <c r="A68" s="5"/>
      <c r="D68" s="5"/>
      <c r="E68" s="5"/>
      <c r="F68" s="5"/>
      <c r="G68" s="5"/>
      <c r="H68" s="5"/>
      <c r="I68" s="5"/>
      <c r="J68" s="5"/>
      <c r="L68" s="2"/>
      <c r="M68" s="2"/>
      <c r="N68" s="2"/>
      <c r="O68" s="2"/>
      <c r="R68" s="2"/>
    </row>
    <row r="69" spans="1:20">
      <c r="A69" s="5"/>
      <c r="D69" s="5"/>
      <c r="E69" s="5"/>
      <c r="F69" s="5"/>
      <c r="G69" s="5"/>
      <c r="H69" s="5"/>
      <c r="I69" s="5"/>
      <c r="J69" s="5"/>
      <c r="L69" s="2"/>
      <c r="M69" s="2"/>
      <c r="N69" s="2"/>
      <c r="O69" s="2"/>
      <c r="R69" s="2"/>
    </row>
    <row r="70" spans="1:20">
      <c r="A70" s="5"/>
      <c r="D70" s="5"/>
      <c r="E70" s="5"/>
      <c r="F70" s="5"/>
      <c r="G70" s="5"/>
      <c r="H70" s="5"/>
      <c r="I70" s="5"/>
      <c r="J70" s="5"/>
      <c r="L70" s="49"/>
      <c r="M70" s="49"/>
      <c r="O70" s="51"/>
      <c r="P70" s="52"/>
      <c r="Q70" s="52"/>
      <c r="R70" s="50"/>
      <c r="S70" s="52"/>
      <c r="T70" s="52"/>
    </row>
    <row r="71" spans="1:20">
      <c r="A71" s="5"/>
      <c r="D71" s="5"/>
      <c r="E71" s="5"/>
      <c r="F71" s="5"/>
      <c r="G71" s="5"/>
      <c r="H71" s="5"/>
      <c r="I71" s="5"/>
      <c r="J71" s="5"/>
      <c r="L71" s="49"/>
      <c r="M71" s="49"/>
      <c r="O71" s="51"/>
      <c r="P71" s="52"/>
      <c r="Q71" s="52"/>
      <c r="R71" s="50"/>
      <c r="S71" s="52"/>
      <c r="T71" s="52"/>
    </row>
    <row r="72" spans="1:20">
      <c r="A72" s="5"/>
      <c r="D72" s="5"/>
      <c r="E72" s="5"/>
      <c r="F72" s="5"/>
      <c r="G72" s="5"/>
      <c r="H72" s="5"/>
      <c r="I72" s="5"/>
      <c r="J72" s="5"/>
      <c r="L72" s="49"/>
      <c r="M72" s="49"/>
      <c r="O72" s="51"/>
      <c r="P72" s="52"/>
      <c r="Q72" s="52"/>
      <c r="R72" s="50"/>
      <c r="S72" s="52"/>
      <c r="T72" s="52"/>
    </row>
    <row r="73" spans="1:20">
      <c r="A73" s="5"/>
      <c r="D73" s="5"/>
      <c r="E73" s="5"/>
      <c r="F73" s="5"/>
      <c r="G73" s="5"/>
      <c r="H73" s="5"/>
      <c r="I73" s="5"/>
      <c r="J73" s="5"/>
      <c r="L73" s="49"/>
      <c r="M73" s="49"/>
      <c r="O73" s="51"/>
      <c r="P73" s="52"/>
      <c r="Q73" s="52"/>
      <c r="R73" s="50"/>
      <c r="S73" s="52"/>
      <c r="T73" s="52"/>
    </row>
    <row r="74" spans="1:20">
      <c r="A74" s="5"/>
      <c r="D74" s="5"/>
      <c r="E74" s="5"/>
      <c r="F74" s="5"/>
      <c r="G74" s="5"/>
      <c r="H74" s="5"/>
      <c r="I74" s="5"/>
      <c r="J74" s="5"/>
      <c r="L74" s="49"/>
      <c r="M74" s="49"/>
      <c r="O74" s="51"/>
      <c r="P74" s="52"/>
      <c r="Q74" s="52"/>
      <c r="R74" s="50"/>
      <c r="S74" s="52"/>
      <c r="T74" s="52"/>
    </row>
    <row r="75" spans="1:20">
      <c r="A75" s="5"/>
      <c r="D75" s="5"/>
      <c r="E75" s="5"/>
      <c r="F75" s="5"/>
      <c r="G75" s="5"/>
      <c r="H75" s="5"/>
      <c r="I75" s="5"/>
      <c r="J75" s="5"/>
      <c r="L75" s="49"/>
      <c r="M75" s="49"/>
      <c r="O75" s="51"/>
      <c r="P75" s="52"/>
      <c r="Q75" s="52"/>
      <c r="R75" s="50"/>
      <c r="S75" s="52"/>
      <c r="T75" s="52"/>
    </row>
    <row r="76" spans="1:20">
      <c r="A76" s="5"/>
      <c r="D76" s="5"/>
      <c r="E76" s="5"/>
      <c r="F76" s="5"/>
      <c r="G76" s="5"/>
      <c r="H76" s="5"/>
      <c r="I76" s="5"/>
      <c r="J76" s="5"/>
      <c r="L76" s="49"/>
      <c r="M76" s="49"/>
      <c r="O76" s="51"/>
      <c r="P76" s="52"/>
      <c r="Q76" s="52"/>
      <c r="R76" s="50"/>
      <c r="S76" s="52"/>
      <c r="T76" s="52"/>
    </row>
    <row r="77" spans="1:20">
      <c r="A77" s="5"/>
      <c r="D77" s="5"/>
      <c r="E77" s="5"/>
      <c r="F77" s="5"/>
      <c r="G77" s="5"/>
      <c r="H77" s="5"/>
      <c r="I77" s="5"/>
      <c r="J77" s="5"/>
      <c r="L77" s="49"/>
      <c r="M77" s="49"/>
      <c r="O77" s="51"/>
      <c r="P77" s="52"/>
      <c r="Q77" s="52"/>
      <c r="R77" s="50"/>
      <c r="S77" s="52"/>
      <c r="T77" s="52"/>
    </row>
    <row r="78" spans="1:20">
      <c r="A78" s="5"/>
      <c r="D78" s="5"/>
      <c r="E78" s="5"/>
      <c r="F78" s="5"/>
      <c r="G78" s="5"/>
      <c r="H78" s="5"/>
      <c r="I78" s="5"/>
      <c r="J78" s="5"/>
      <c r="L78" s="49"/>
      <c r="M78" s="49"/>
      <c r="O78" s="51"/>
      <c r="P78" s="52"/>
      <c r="Q78" s="52"/>
      <c r="R78" s="50"/>
      <c r="S78" s="52"/>
      <c r="T78" s="52"/>
    </row>
    <row r="79" spans="1:20">
      <c r="A79" s="5"/>
      <c r="D79" s="5"/>
      <c r="E79" s="5"/>
      <c r="F79" s="5"/>
      <c r="G79" s="5"/>
      <c r="H79" s="5"/>
      <c r="I79" s="5"/>
      <c r="J79" s="5"/>
      <c r="L79" s="49"/>
      <c r="M79" s="49"/>
      <c r="O79" s="51"/>
      <c r="P79" s="52"/>
      <c r="Q79" s="52"/>
      <c r="R79" s="50"/>
      <c r="S79" s="52"/>
      <c r="T79" s="52"/>
    </row>
    <row r="80" spans="1:20">
      <c r="A80" s="5"/>
      <c r="D80" s="5"/>
      <c r="E80" s="5"/>
      <c r="F80" s="5"/>
      <c r="G80" s="5"/>
      <c r="H80" s="5"/>
      <c r="I80" s="5"/>
      <c r="J80" s="5"/>
      <c r="L80" s="49"/>
      <c r="M80" s="49"/>
      <c r="O80" s="51"/>
      <c r="P80" s="52"/>
      <c r="Q80" s="52"/>
      <c r="R80" s="50"/>
      <c r="S80" s="52"/>
      <c r="T80" s="52"/>
    </row>
    <row r="81" spans="1:20">
      <c r="A81" s="5"/>
      <c r="D81" s="5"/>
      <c r="E81" s="5"/>
      <c r="F81" s="5"/>
      <c r="G81" s="5"/>
      <c r="H81" s="5"/>
      <c r="I81" s="5"/>
      <c r="J81" s="5"/>
      <c r="L81" s="49"/>
      <c r="M81" s="49"/>
      <c r="O81" s="51"/>
      <c r="P81" s="52"/>
      <c r="Q81" s="52"/>
      <c r="R81" s="50"/>
      <c r="S81" s="52"/>
      <c r="T81" s="52"/>
    </row>
    <row r="82" spans="1:20">
      <c r="A82" s="5"/>
      <c r="D82" s="5"/>
      <c r="E82" s="5"/>
      <c r="F82" s="5"/>
      <c r="G82" s="5"/>
      <c r="H82" s="5"/>
      <c r="I82" s="5"/>
      <c r="J82" s="5"/>
      <c r="L82" s="49"/>
      <c r="M82" s="49"/>
      <c r="O82" s="51"/>
      <c r="P82" s="52"/>
      <c r="Q82" s="52"/>
      <c r="R82" s="50"/>
      <c r="S82" s="52"/>
      <c r="T82" s="52"/>
    </row>
    <row r="83" spans="1:20">
      <c r="A83" s="5"/>
      <c r="D83" s="5"/>
      <c r="E83" s="5"/>
      <c r="F83" s="5"/>
      <c r="G83" s="5"/>
      <c r="H83" s="5"/>
      <c r="I83" s="5"/>
      <c r="J83" s="5"/>
      <c r="L83" s="49"/>
      <c r="M83" s="49"/>
      <c r="O83" s="51"/>
      <c r="P83" s="52"/>
      <c r="Q83" s="52"/>
      <c r="R83" s="50"/>
      <c r="S83" s="52"/>
      <c r="T83" s="52"/>
    </row>
    <row r="84" spans="1:20">
      <c r="A84" s="5"/>
      <c r="D84" s="5"/>
      <c r="E84" s="5"/>
      <c r="F84" s="5"/>
      <c r="G84" s="5"/>
      <c r="H84" s="5"/>
      <c r="I84" s="5"/>
      <c r="J84" s="5"/>
      <c r="L84" s="49"/>
      <c r="M84" s="49"/>
      <c r="O84" s="51"/>
      <c r="P84" s="52"/>
      <c r="Q84" s="52"/>
      <c r="R84" s="50"/>
      <c r="S84" s="52"/>
      <c r="T84" s="52"/>
    </row>
    <row r="85" spans="1:20">
      <c r="A85" s="5"/>
      <c r="D85" s="5"/>
      <c r="E85" s="5"/>
      <c r="F85" s="5"/>
      <c r="G85" s="5"/>
      <c r="H85" s="5"/>
      <c r="I85" s="5"/>
      <c r="J85" s="5"/>
      <c r="L85" s="49"/>
      <c r="M85" s="49"/>
      <c r="O85" s="51"/>
      <c r="P85" s="52"/>
      <c r="Q85" s="52"/>
      <c r="R85" s="50"/>
      <c r="S85" s="52"/>
      <c r="T85" s="52"/>
    </row>
    <row r="86" spans="1:20">
      <c r="A86" s="5"/>
      <c r="D86" s="5"/>
      <c r="E86" s="5"/>
      <c r="F86" s="5"/>
      <c r="G86" s="5"/>
      <c r="H86" s="5"/>
      <c r="I86" s="5"/>
      <c r="J86" s="5"/>
      <c r="L86" s="49"/>
      <c r="M86" s="49"/>
      <c r="O86" s="51"/>
      <c r="P86" s="52"/>
      <c r="Q86" s="52"/>
      <c r="R86" s="50"/>
      <c r="S86" s="52"/>
      <c r="T86" s="52"/>
    </row>
    <row r="87" spans="1:20">
      <c r="A87" s="5"/>
      <c r="D87" s="5"/>
      <c r="E87" s="5"/>
      <c r="F87" s="5"/>
      <c r="G87" s="5"/>
      <c r="H87" s="5"/>
      <c r="I87" s="5"/>
      <c r="J87" s="5"/>
      <c r="L87" s="49"/>
      <c r="M87" s="49"/>
      <c r="O87" s="51"/>
      <c r="P87" s="52"/>
      <c r="Q87" s="52"/>
      <c r="R87" s="50"/>
      <c r="S87" s="52"/>
      <c r="T87" s="52"/>
    </row>
    <row r="88" spans="1:20">
      <c r="A88" s="5"/>
      <c r="D88" s="5"/>
      <c r="E88" s="5"/>
      <c r="F88" s="5"/>
      <c r="G88" s="5"/>
      <c r="H88" s="5"/>
      <c r="I88" s="5"/>
      <c r="J88" s="5"/>
      <c r="L88" s="49"/>
      <c r="M88" s="49"/>
      <c r="O88" s="51"/>
      <c r="P88" s="52"/>
      <c r="Q88" s="52"/>
      <c r="R88" s="50"/>
      <c r="S88" s="52"/>
      <c r="T88" s="52"/>
    </row>
    <row r="89" spans="1:20">
      <c r="A89" s="5"/>
      <c r="D89" s="5"/>
      <c r="E89" s="5"/>
      <c r="F89" s="5"/>
      <c r="G89" s="5"/>
      <c r="H89" s="5"/>
      <c r="I89" s="5"/>
      <c r="J89" s="5"/>
      <c r="L89" s="49"/>
      <c r="M89" s="49"/>
      <c r="O89" s="51"/>
      <c r="P89" s="52"/>
      <c r="Q89" s="52"/>
      <c r="R89" s="50"/>
      <c r="S89" s="52"/>
      <c r="T89" s="52"/>
    </row>
    <row r="90" spans="1:20">
      <c r="A90" s="5"/>
      <c r="D90" s="5"/>
      <c r="E90" s="5"/>
      <c r="F90" s="5"/>
      <c r="G90" s="5"/>
      <c r="H90" s="5"/>
      <c r="I90" s="5"/>
      <c r="J90" s="5"/>
      <c r="L90" s="49"/>
      <c r="M90" s="49"/>
      <c r="O90" s="51"/>
      <c r="P90" s="52"/>
      <c r="Q90" s="52"/>
      <c r="R90" s="50"/>
      <c r="S90" s="52"/>
      <c r="T90" s="52"/>
    </row>
    <row r="91" spans="1:20">
      <c r="A91" s="5"/>
      <c r="D91" s="5"/>
      <c r="E91" s="5"/>
      <c r="F91" s="5"/>
      <c r="G91" s="5"/>
      <c r="H91" s="5"/>
      <c r="I91" s="5"/>
      <c r="J91" s="5"/>
      <c r="L91" s="49"/>
      <c r="M91" s="49"/>
      <c r="O91" s="51"/>
      <c r="P91" s="52"/>
      <c r="Q91" s="52"/>
      <c r="R91" s="50"/>
      <c r="S91" s="52"/>
      <c r="T91" s="52"/>
    </row>
    <row r="92" spans="1:20">
      <c r="A92" s="5"/>
      <c r="D92" s="5"/>
      <c r="E92" s="5"/>
      <c r="F92" s="5"/>
      <c r="G92" s="5"/>
      <c r="H92" s="5"/>
      <c r="I92" s="5"/>
      <c r="J92" s="5"/>
      <c r="L92" s="49"/>
      <c r="M92" s="49"/>
      <c r="O92" s="51"/>
      <c r="P92" s="52"/>
      <c r="Q92" s="52"/>
      <c r="R92" s="50"/>
      <c r="S92" s="52"/>
      <c r="T92" s="52"/>
    </row>
    <row r="93" spans="1:20">
      <c r="A93" s="5"/>
      <c r="D93" s="5"/>
      <c r="E93" s="5"/>
      <c r="F93" s="5"/>
      <c r="G93" s="5"/>
      <c r="H93" s="5"/>
      <c r="I93" s="5"/>
      <c r="J93" s="5"/>
      <c r="L93" s="49"/>
      <c r="M93" s="49"/>
      <c r="O93" s="51"/>
      <c r="P93" s="52"/>
      <c r="Q93" s="52"/>
      <c r="R93" s="50"/>
      <c r="S93" s="52"/>
      <c r="T93" s="52"/>
    </row>
    <row r="94" spans="1:20">
      <c r="A94" s="5"/>
      <c r="D94" s="5"/>
      <c r="E94" s="5"/>
      <c r="F94" s="5"/>
      <c r="G94" s="5"/>
      <c r="H94" s="5"/>
      <c r="I94" s="5"/>
      <c r="J94" s="5"/>
      <c r="L94" s="49"/>
      <c r="M94" s="49"/>
      <c r="O94" s="51"/>
      <c r="P94" s="52"/>
      <c r="Q94" s="52"/>
      <c r="R94" s="50"/>
      <c r="S94" s="52"/>
      <c r="T94" s="52"/>
    </row>
    <row r="95" spans="1:20">
      <c r="A95" s="5"/>
      <c r="D95" s="5"/>
      <c r="E95" s="5"/>
      <c r="F95" s="5"/>
      <c r="G95" s="5"/>
      <c r="H95" s="5"/>
      <c r="I95" s="5"/>
      <c r="J95" s="5"/>
      <c r="L95" s="49"/>
      <c r="M95" s="49"/>
      <c r="O95" s="51"/>
      <c r="P95" s="52"/>
      <c r="Q95" s="52"/>
      <c r="R95" s="50"/>
      <c r="S95" s="52"/>
      <c r="T95" s="52"/>
    </row>
    <row r="96" spans="1:20">
      <c r="A96" s="5"/>
      <c r="D96" s="5"/>
      <c r="E96" s="5"/>
      <c r="F96" s="5"/>
      <c r="G96" s="5"/>
      <c r="H96" s="5"/>
      <c r="I96" s="5"/>
      <c r="J96" s="5"/>
      <c r="L96" s="49"/>
      <c r="M96" s="49"/>
      <c r="O96" s="51"/>
      <c r="P96" s="52"/>
      <c r="Q96" s="52"/>
      <c r="R96" s="50"/>
      <c r="S96" s="52"/>
      <c r="T96" s="52"/>
    </row>
    <row r="97" spans="1:20">
      <c r="A97" s="5"/>
      <c r="D97" s="5"/>
      <c r="E97" s="5"/>
      <c r="F97" s="5"/>
      <c r="G97" s="5"/>
      <c r="H97" s="5"/>
      <c r="I97" s="5"/>
      <c r="J97" s="5"/>
      <c r="L97" s="49"/>
      <c r="M97" s="49"/>
      <c r="O97" s="51"/>
      <c r="P97" s="52"/>
      <c r="Q97" s="52"/>
      <c r="R97" s="50"/>
      <c r="S97" s="52"/>
      <c r="T97" s="52"/>
    </row>
    <row r="98" spans="1:20">
      <c r="A98" s="5"/>
      <c r="D98" s="5"/>
      <c r="E98" s="5"/>
      <c r="F98" s="5"/>
      <c r="G98" s="5"/>
      <c r="H98" s="5"/>
      <c r="I98" s="5"/>
      <c r="J98" s="5"/>
      <c r="L98" s="49"/>
      <c r="M98" s="49"/>
      <c r="O98" s="51"/>
      <c r="P98" s="52"/>
      <c r="Q98" s="52"/>
      <c r="R98" s="50"/>
      <c r="S98" s="52"/>
      <c r="T98" s="52"/>
    </row>
    <row r="99" spans="1:20">
      <c r="A99" s="5"/>
      <c r="D99" s="5"/>
      <c r="E99" s="5"/>
      <c r="F99" s="5"/>
      <c r="G99" s="5"/>
      <c r="H99" s="5"/>
      <c r="I99" s="5"/>
      <c r="J99" s="5"/>
      <c r="L99" s="49"/>
      <c r="M99" s="49"/>
      <c r="O99" s="51"/>
      <c r="P99" s="52"/>
      <c r="Q99" s="52"/>
      <c r="R99" s="50"/>
      <c r="S99" s="52"/>
      <c r="T99" s="52"/>
    </row>
    <row r="100" spans="1:20">
      <c r="A100" s="5"/>
      <c r="D100" s="5"/>
      <c r="E100" s="5"/>
      <c r="F100" s="5"/>
      <c r="G100" s="5"/>
      <c r="H100" s="5"/>
      <c r="I100" s="5"/>
      <c r="J100" s="5"/>
      <c r="L100" s="49"/>
      <c r="M100" s="49"/>
      <c r="O100" s="51"/>
      <c r="P100" s="52"/>
      <c r="Q100" s="52"/>
      <c r="R100" s="50"/>
      <c r="S100" s="52"/>
      <c r="T100" s="52"/>
    </row>
    <row r="101" spans="1:20">
      <c r="A101" s="5"/>
      <c r="D101" s="5"/>
      <c r="E101" s="5"/>
      <c r="F101" s="5"/>
      <c r="G101" s="5"/>
      <c r="H101" s="5"/>
      <c r="I101" s="5"/>
      <c r="J101" s="5"/>
      <c r="L101" s="49"/>
      <c r="M101" s="49"/>
      <c r="O101" s="51"/>
      <c r="P101" s="52"/>
      <c r="Q101" s="52"/>
      <c r="R101" s="50"/>
      <c r="S101" s="52"/>
      <c r="T101" s="52"/>
    </row>
    <row r="102" spans="1:20">
      <c r="A102" s="5"/>
      <c r="D102" s="5"/>
      <c r="E102" s="5"/>
      <c r="F102" s="5"/>
      <c r="G102" s="5"/>
      <c r="H102" s="5"/>
      <c r="I102" s="5"/>
      <c r="J102" s="5"/>
      <c r="L102" s="49"/>
      <c r="M102" s="49"/>
      <c r="O102" s="51"/>
      <c r="P102" s="52"/>
      <c r="Q102" s="52"/>
      <c r="R102" s="50"/>
      <c r="S102" s="52"/>
      <c r="T102" s="52"/>
    </row>
    <row r="103" spans="1:20">
      <c r="A103" s="5"/>
      <c r="D103" s="5"/>
      <c r="E103" s="5"/>
      <c r="F103" s="5"/>
      <c r="G103" s="5"/>
      <c r="H103" s="5"/>
      <c r="I103" s="5"/>
      <c r="J103" s="5"/>
      <c r="L103" s="49"/>
      <c r="M103" s="49"/>
      <c r="O103" s="51"/>
      <c r="P103" s="52"/>
      <c r="Q103" s="52"/>
      <c r="R103" s="50"/>
      <c r="S103" s="52"/>
      <c r="T103" s="52"/>
    </row>
    <row r="104" spans="1:20">
      <c r="A104" s="5"/>
      <c r="D104" s="5"/>
      <c r="E104" s="5"/>
      <c r="F104" s="5"/>
      <c r="G104" s="5"/>
      <c r="H104" s="5"/>
      <c r="I104" s="5"/>
      <c r="J104" s="5"/>
      <c r="L104" s="49"/>
      <c r="M104" s="49"/>
      <c r="O104" s="51"/>
      <c r="P104" s="52"/>
      <c r="Q104" s="52"/>
      <c r="R104" s="50"/>
      <c r="S104" s="52"/>
      <c r="T104" s="52"/>
    </row>
    <row r="105" spans="1:20">
      <c r="A105" s="5"/>
      <c r="D105" s="5"/>
      <c r="E105" s="5"/>
      <c r="F105" s="5"/>
      <c r="G105" s="5"/>
      <c r="H105" s="5"/>
      <c r="I105" s="5"/>
      <c r="J105" s="5"/>
      <c r="L105" s="49"/>
      <c r="M105" s="49"/>
      <c r="O105" s="51"/>
      <c r="P105" s="52"/>
      <c r="Q105" s="52"/>
      <c r="R105" s="50"/>
      <c r="S105" s="52"/>
      <c r="T105" s="52"/>
    </row>
    <row r="106" spans="1:20">
      <c r="A106" s="5"/>
      <c r="D106" s="5"/>
      <c r="E106" s="5"/>
      <c r="F106" s="5"/>
      <c r="G106" s="5"/>
      <c r="H106" s="5"/>
      <c r="I106" s="5"/>
      <c r="J106" s="5"/>
      <c r="L106" s="49"/>
      <c r="M106" s="49"/>
      <c r="O106" s="51"/>
      <c r="P106" s="52"/>
      <c r="Q106" s="52"/>
      <c r="R106" s="50"/>
      <c r="S106" s="52"/>
      <c r="T106" s="52"/>
    </row>
    <row r="107" spans="1:20">
      <c r="A107" s="5"/>
      <c r="D107" s="5"/>
      <c r="E107" s="5"/>
      <c r="F107" s="5"/>
      <c r="G107" s="5"/>
      <c r="H107" s="5"/>
      <c r="I107" s="5"/>
      <c r="J107" s="5"/>
      <c r="L107" s="49"/>
      <c r="M107" s="49"/>
      <c r="O107" s="51"/>
      <c r="P107" s="52"/>
      <c r="Q107" s="52"/>
      <c r="R107" s="50"/>
      <c r="S107" s="52"/>
      <c r="T107" s="52"/>
    </row>
    <row r="108" spans="1:20">
      <c r="A108" s="5"/>
      <c r="D108" s="5"/>
      <c r="E108" s="5"/>
      <c r="F108" s="5"/>
      <c r="G108" s="5"/>
      <c r="H108" s="5"/>
      <c r="I108" s="5"/>
      <c r="J108" s="5"/>
      <c r="L108" s="49"/>
      <c r="M108" s="49"/>
      <c r="O108" s="51"/>
      <c r="P108" s="52"/>
      <c r="Q108" s="52"/>
      <c r="R108" s="50"/>
      <c r="S108" s="52"/>
      <c r="T108" s="52"/>
    </row>
    <row r="109" spans="1:20">
      <c r="A109" s="5"/>
      <c r="D109" s="5"/>
      <c r="E109" s="5"/>
      <c r="F109" s="5"/>
      <c r="G109" s="5"/>
      <c r="H109" s="5"/>
      <c r="I109" s="5"/>
      <c r="J109" s="5"/>
      <c r="L109" s="49"/>
      <c r="M109" s="49"/>
      <c r="O109" s="51"/>
      <c r="P109" s="52"/>
      <c r="Q109" s="52"/>
      <c r="R109" s="50"/>
      <c r="S109" s="52"/>
      <c r="T109" s="52"/>
    </row>
    <row r="110" spans="1:20">
      <c r="A110" s="5"/>
      <c r="D110" s="5"/>
      <c r="E110" s="5"/>
      <c r="F110" s="5"/>
      <c r="G110" s="5"/>
      <c r="H110" s="5"/>
      <c r="I110" s="5"/>
      <c r="J110" s="5"/>
      <c r="L110" s="49"/>
      <c r="M110" s="49"/>
      <c r="O110" s="51"/>
      <c r="P110" s="52"/>
      <c r="Q110" s="52"/>
      <c r="R110" s="50"/>
      <c r="S110" s="52"/>
      <c r="T110" s="52"/>
    </row>
    <row r="111" spans="1:20">
      <c r="A111" s="5"/>
      <c r="D111" s="5"/>
      <c r="E111" s="5"/>
      <c r="F111" s="5"/>
      <c r="G111" s="5"/>
      <c r="H111" s="5"/>
      <c r="I111" s="5"/>
      <c r="J111" s="5"/>
      <c r="L111" s="49"/>
      <c r="M111" s="49"/>
      <c r="O111" s="51"/>
      <c r="P111" s="52"/>
      <c r="Q111" s="52"/>
      <c r="R111" s="50"/>
      <c r="S111" s="52"/>
      <c r="T111" s="52"/>
    </row>
    <row r="112" spans="1:20">
      <c r="A112" s="5"/>
      <c r="D112" s="5"/>
      <c r="E112" s="5"/>
      <c r="F112" s="5"/>
      <c r="G112" s="5"/>
      <c r="H112" s="5"/>
      <c r="I112" s="5"/>
      <c r="J112" s="5"/>
      <c r="L112" s="49"/>
      <c r="M112" s="49"/>
      <c r="O112" s="51"/>
      <c r="P112" s="52"/>
      <c r="Q112" s="52"/>
      <c r="R112" s="50"/>
      <c r="S112" s="52"/>
      <c r="T112" s="52"/>
    </row>
    <row r="113" spans="1:20">
      <c r="A113" s="5"/>
      <c r="D113" s="5"/>
      <c r="E113" s="5"/>
      <c r="F113" s="5"/>
      <c r="G113" s="5"/>
      <c r="H113" s="5"/>
      <c r="I113" s="5"/>
      <c r="J113" s="5"/>
      <c r="L113" s="49"/>
      <c r="M113" s="49"/>
      <c r="O113" s="51"/>
      <c r="P113" s="52"/>
      <c r="Q113" s="52"/>
      <c r="R113" s="50"/>
      <c r="S113" s="52"/>
      <c r="T113" s="52"/>
    </row>
    <row r="114" spans="1:20">
      <c r="A114" s="5"/>
      <c r="D114" s="5"/>
      <c r="E114" s="5"/>
      <c r="F114" s="5"/>
      <c r="G114" s="5"/>
      <c r="H114" s="5"/>
      <c r="I114" s="5"/>
      <c r="J114" s="5"/>
      <c r="L114" s="49"/>
      <c r="M114" s="49"/>
      <c r="O114" s="51"/>
      <c r="P114" s="52"/>
      <c r="Q114" s="52"/>
      <c r="R114" s="50"/>
      <c r="S114" s="52"/>
      <c r="T114" s="52"/>
    </row>
    <row r="115" spans="1:20">
      <c r="A115" s="5"/>
      <c r="D115" s="5"/>
      <c r="E115" s="5"/>
      <c r="F115" s="5"/>
      <c r="G115" s="5"/>
      <c r="H115" s="5"/>
      <c r="I115" s="5"/>
      <c r="J115" s="5"/>
      <c r="L115" s="49"/>
      <c r="M115" s="49"/>
      <c r="O115" s="51"/>
      <c r="P115" s="52"/>
      <c r="Q115" s="52"/>
      <c r="R115" s="50"/>
      <c r="S115" s="52"/>
      <c r="T115" s="52"/>
    </row>
    <row r="116" spans="1:20">
      <c r="A116" s="5"/>
      <c r="D116" s="5"/>
      <c r="E116" s="5"/>
      <c r="F116" s="5"/>
      <c r="G116" s="5"/>
      <c r="H116" s="5"/>
      <c r="I116" s="5"/>
      <c r="J116" s="5"/>
      <c r="L116" s="49"/>
      <c r="M116" s="49"/>
      <c r="O116" s="51"/>
      <c r="P116" s="52"/>
      <c r="Q116" s="52"/>
      <c r="R116" s="50"/>
      <c r="S116" s="52"/>
      <c r="T116" s="52"/>
    </row>
    <row r="117" spans="1:20">
      <c r="A117" s="5"/>
      <c r="D117" s="5"/>
      <c r="E117" s="5"/>
      <c r="F117" s="5"/>
      <c r="G117" s="5"/>
      <c r="H117" s="5"/>
      <c r="I117" s="5"/>
      <c r="J117" s="5"/>
      <c r="L117" s="49"/>
      <c r="M117" s="49"/>
      <c r="O117" s="51"/>
      <c r="P117" s="52"/>
      <c r="Q117" s="52"/>
      <c r="R117" s="50"/>
      <c r="S117" s="52"/>
      <c r="T117" s="52"/>
    </row>
    <row r="118" spans="1:20">
      <c r="A118" s="5"/>
      <c r="D118" s="5"/>
      <c r="E118" s="5"/>
      <c r="F118" s="5"/>
      <c r="G118" s="5"/>
      <c r="H118" s="5"/>
      <c r="I118" s="5"/>
      <c r="J118" s="5"/>
      <c r="L118" s="49"/>
      <c r="M118" s="49"/>
      <c r="O118" s="51"/>
      <c r="P118" s="52"/>
      <c r="Q118" s="52"/>
      <c r="R118" s="50"/>
      <c r="S118" s="52"/>
      <c r="T118" s="52"/>
    </row>
    <row r="119" spans="1:20">
      <c r="A119" s="5"/>
      <c r="D119" s="5"/>
      <c r="E119" s="5"/>
      <c r="F119" s="5"/>
      <c r="G119" s="5"/>
      <c r="H119" s="5"/>
      <c r="I119" s="5"/>
      <c r="J119" s="5"/>
      <c r="L119" s="49"/>
      <c r="M119" s="49"/>
      <c r="O119" s="51"/>
      <c r="P119" s="52"/>
      <c r="Q119" s="52"/>
      <c r="R119" s="50"/>
      <c r="S119" s="52"/>
      <c r="T119" s="52"/>
    </row>
    <row r="120" spans="1:20">
      <c r="A120" s="5"/>
      <c r="D120" s="5"/>
      <c r="E120" s="5"/>
      <c r="F120" s="5"/>
      <c r="G120" s="5"/>
      <c r="H120" s="5"/>
      <c r="I120" s="5"/>
      <c r="J120" s="5"/>
      <c r="L120" s="49"/>
      <c r="M120" s="49"/>
      <c r="O120" s="51"/>
      <c r="P120" s="52"/>
      <c r="Q120" s="52"/>
      <c r="R120" s="50"/>
      <c r="S120" s="52"/>
      <c r="T120" s="52"/>
    </row>
    <row r="121" spans="1:20">
      <c r="A121" s="5"/>
      <c r="D121" s="5"/>
      <c r="E121" s="5"/>
      <c r="F121" s="5"/>
      <c r="G121" s="5"/>
      <c r="H121" s="5"/>
      <c r="I121" s="5"/>
      <c r="J121" s="5"/>
      <c r="L121" s="49"/>
      <c r="M121" s="49"/>
      <c r="O121" s="51"/>
      <c r="P121" s="52"/>
      <c r="Q121" s="52"/>
      <c r="R121" s="50"/>
      <c r="S121" s="52"/>
      <c r="T121" s="52"/>
    </row>
    <row r="122" spans="1:20">
      <c r="A122" s="5"/>
      <c r="D122" s="5"/>
      <c r="E122" s="5"/>
      <c r="F122" s="5"/>
      <c r="G122" s="5"/>
      <c r="H122" s="5"/>
      <c r="I122" s="5"/>
      <c r="J122" s="5"/>
      <c r="L122" s="49"/>
      <c r="M122" s="49"/>
      <c r="O122" s="51"/>
      <c r="P122" s="52"/>
      <c r="Q122" s="52"/>
      <c r="R122" s="50"/>
      <c r="S122" s="52"/>
      <c r="T122" s="52"/>
    </row>
    <row r="123" spans="1:20">
      <c r="A123" s="5"/>
      <c r="D123" s="5"/>
      <c r="E123" s="5"/>
      <c r="F123" s="5"/>
      <c r="G123" s="5"/>
      <c r="H123" s="5"/>
      <c r="I123" s="5"/>
      <c r="J123" s="5"/>
    </row>
    <row r="124" spans="1:20">
      <c r="A124" s="5"/>
      <c r="D124" s="5"/>
      <c r="E124" s="5"/>
      <c r="F124" s="5"/>
      <c r="G124" s="5"/>
      <c r="H124" s="5"/>
      <c r="I124" s="5"/>
      <c r="J124" s="5"/>
    </row>
    <row r="125" spans="1:20">
      <c r="A125" s="5"/>
      <c r="D125" s="5"/>
      <c r="E125" s="5"/>
      <c r="F125" s="5"/>
      <c r="G125" s="5"/>
      <c r="H125" s="5"/>
      <c r="I125" s="5"/>
      <c r="J125" s="5"/>
    </row>
    <row r="126" spans="1:20">
      <c r="A126" s="5"/>
      <c r="D126" s="5"/>
      <c r="E126" s="5"/>
      <c r="F126" s="5"/>
      <c r="G126" s="5"/>
      <c r="H126" s="5"/>
      <c r="I126" s="5"/>
      <c r="J126" s="5"/>
    </row>
    <row r="127" spans="1:20">
      <c r="A127" s="5"/>
      <c r="D127" s="5"/>
      <c r="E127" s="5"/>
      <c r="F127" s="5"/>
      <c r="G127" s="5"/>
      <c r="H127" s="5"/>
      <c r="I127" s="5"/>
      <c r="J127" s="5"/>
    </row>
    <row r="128" spans="1:20">
      <c r="A128" s="5"/>
      <c r="D128" s="5"/>
      <c r="E128" s="5"/>
      <c r="F128" s="5"/>
      <c r="G128" s="5"/>
      <c r="H128" s="5"/>
      <c r="I128" s="5"/>
      <c r="J128" s="5"/>
    </row>
    <row r="129" spans="1:10">
      <c r="A129" s="5"/>
      <c r="D129" s="5"/>
      <c r="E129" s="5"/>
      <c r="F129" s="5"/>
      <c r="G129" s="5"/>
      <c r="H129" s="5"/>
      <c r="I129" s="5"/>
      <c r="J129" s="5"/>
    </row>
    <row r="130" spans="1:10">
      <c r="A130" s="5"/>
      <c r="D130" s="5"/>
      <c r="E130" s="5"/>
      <c r="F130" s="5"/>
      <c r="G130" s="5"/>
      <c r="H130" s="5"/>
      <c r="I130" s="5"/>
      <c r="J130" s="5"/>
    </row>
    <row r="131" spans="1:10">
      <c r="A131" s="5"/>
      <c r="D131" s="5"/>
      <c r="E131" s="5"/>
      <c r="F131" s="5"/>
      <c r="G131" s="5"/>
      <c r="H131" s="5"/>
      <c r="I131" s="5"/>
      <c r="J131" s="5"/>
    </row>
    <row r="132" spans="1:10">
      <c r="A132" s="5"/>
      <c r="D132" s="5"/>
      <c r="E132" s="5"/>
      <c r="F132" s="5"/>
      <c r="G132" s="5"/>
      <c r="H132" s="5"/>
      <c r="I132" s="5"/>
      <c r="J132" s="5"/>
    </row>
    <row r="133" spans="1:10">
      <c r="A133" s="5"/>
      <c r="D133" s="5"/>
      <c r="E133" s="5"/>
      <c r="F133" s="5"/>
      <c r="G133" s="5"/>
      <c r="H133" s="5"/>
      <c r="I133" s="5"/>
      <c r="J133" s="5"/>
    </row>
    <row r="134" spans="1:10">
      <c r="A134" s="5"/>
      <c r="D134" s="5"/>
      <c r="E134" s="5"/>
      <c r="F134" s="5"/>
      <c r="G134" s="5"/>
      <c r="H134" s="5"/>
      <c r="I134" s="5"/>
      <c r="J134" s="5"/>
    </row>
    <row r="135" spans="1:10">
      <c r="A135" s="5"/>
      <c r="D135" s="5"/>
      <c r="E135" s="5"/>
      <c r="F135" s="5"/>
      <c r="G135" s="5"/>
      <c r="H135" s="5"/>
      <c r="I135" s="5"/>
      <c r="J135" s="5"/>
    </row>
    <row r="136" spans="1:10">
      <c r="A136" s="5"/>
      <c r="D136" s="5"/>
      <c r="E136" s="5"/>
      <c r="F136" s="5"/>
      <c r="G136" s="5"/>
      <c r="H136" s="5"/>
      <c r="I136" s="5"/>
      <c r="J136" s="5"/>
    </row>
    <row r="137" spans="1:10">
      <c r="A137" s="5"/>
      <c r="D137" s="5"/>
      <c r="E137" s="5"/>
      <c r="F137" s="5"/>
      <c r="G137" s="5"/>
      <c r="H137" s="5"/>
      <c r="I137" s="5"/>
      <c r="J137" s="5"/>
    </row>
    <row r="138" spans="1:10">
      <c r="A138" s="5"/>
      <c r="D138" s="5"/>
      <c r="E138" s="5"/>
      <c r="F138" s="5"/>
      <c r="G138" s="5"/>
      <c r="H138" s="5"/>
      <c r="I138" s="5"/>
      <c r="J138" s="5"/>
    </row>
    <row r="139" spans="1:10">
      <c r="A139" s="5"/>
      <c r="D139" s="5"/>
      <c r="E139" s="5"/>
      <c r="F139" s="5"/>
      <c r="G139" s="5"/>
      <c r="H139" s="5"/>
      <c r="I139" s="5"/>
      <c r="J139" s="5"/>
    </row>
    <row r="140" spans="1:10">
      <c r="A140" s="5"/>
      <c r="D140" s="5"/>
      <c r="E140" s="5"/>
      <c r="F140" s="5"/>
      <c r="G140" s="5"/>
      <c r="H140" s="5"/>
      <c r="I140" s="5"/>
      <c r="J140" s="5"/>
    </row>
    <row r="141" spans="1:10">
      <c r="A141" s="5"/>
      <c r="D141" s="5"/>
      <c r="E141" s="5"/>
      <c r="F141" s="5"/>
      <c r="G141" s="5"/>
      <c r="H141" s="5"/>
      <c r="I141" s="5"/>
      <c r="J141" s="5"/>
    </row>
    <row r="142" spans="1:10">
      <c r="A142" s="5"/>
      <c r="D142" s="5"/>
      <c r="E142" s="5"/>
      <c r="F142" s="5"/>
      <c r="G142" s="5"/>
      <c r="H142" s="5"/>
      <c r="I142" s="5"/>
      <c r="J142" s="5"/>
    </row>
    <row r="143" spans="1:10">
      <c r="A143" s="5"/>
      <c r="D143" s="5"/>
      <c r="E143" s="5"/>
      <c r="F143" s="5"/>
      <c r="G143" s="5"/>
      <c r="H143" s="5"/>
      <c r="I143" s="5"/>
      <c r="J143" s="5"/>
    </row>
    <row r="144" spans="1:10">
      <c r="A144" s="5"/>
      <c r="D144" s="5"/>
      <c r="E144" s="5"/>
      <c r="F144" s="5"/>
      <c r="G144" s="5"/>
      <c r="H144" s="5"/>
      <c r="I144" s="5"/>
      <c r="J144" s="5"/>
    </row>
    <row r="145" spans="1:10">
      <c r="A145" s="5"/>
      <c r="D145" s="5"/>
      <c r="E145" s="5"/>
      <c r="F145" s="5"/>
      <c r="G145" s="5"/>
      <c r="H145" s="5"/>
      <c r="I145" s="5"/>
      <c r="J145" s="5"/>
    </row>
    <row r="146" spans="1:10">
      <c r="A146" s="5"/>
      <c r="D146" s="5"/>
      <c r="E146" s="5"/>
      <c r="F146" s="5"/>
      <c r="G146" s="5"/>
      <c r="H146" s="5"/>
      <c r="I146" s="5"/>
      <c r="J146" s="5"/>
    </row>
    <row r="147" spans="1:10">
      <c r="A147" s="5"/>
      <c r="D147" s="5"/>
      <c r="E147" s="5"/>
      <c r="F147" s="5"/>
      <c r="G147" s="5"/>
      <c r="H147" s="5"/>
      <c r="I147" s="5"/>
      <c r="J147" s="5"/>
    </row>
    <row r="148" spans="1:10">
      <c r="A148" s="5"/>
      <c r="D148" s="5"/>
      <c r="E148" s="5"/>
      <c r="F148" s="5"/>
      <c r="G148" s="5"/>
      <c r="H148" s="5"/>
      <c r="I148" s="5"/>
      <c r="J148" s="5"/>
    </row>
    <row r="149" spans="1:10">
      <c r="A149" s="5"/>
      <c r="D149" s="5"/>
      <c r="E149" s="5"/>
      <c r="F149" s="5"/>
      <c r="G149" s="5"/>
      <c r="H149" s="5"/>
      <c r="I149" s="5"/>
      <c r="J149" s="5"/>
    </row>
    <row r="150" spans="1:10">
      <c r="A150" s="5"/>
      <c r="D150" s="5"/>
      <c r="E150" s="5"/>
      <c r="F150" s="5"/>
      <c r="G150" s="5"/>
      <c r="H150" s="5"/>
      <c r="I150" s="5"/>
      <c r="J150" s="5"/>
    </row>
    <row r="151" spans="1:10">
      <c r="A151" s="5"/>
      <c r="D151" s="5"/>
      <c r="E151" s="5"/>
      <c r="F151" s="5"/>
      <c r="G151" s="5"/>
      <c r="H151" s="5"/>
      <c r="I151" s="5"/>
      <c r="J151" s="5"/>
    </row>
    <row r="152" spans="1:10">
      <c r="A152" s="5"/>
      <c r="D152" s="5"/>
      <c r="E152" s="5"/>
      <c r="F152" s="5"/>
      <c r="G152" s="5"/>
      <c r="H152" s="5"/>
      <c r="I152" s="5"/>
      <c r="J152" s="5"/>
    </row>
    <row r="153" spans="1:10">
      <c r="A153" s="5"/>
      <c r="D153" s="5"/>
      <c r="E153" s="5"/>
      <c r="F153" s="5"/>
      <c r="G153" s="5"/>
      <c r="H153" s="5"/>
      <c r="I153" s="5"/>
      <c r="J153" s="5"/>
    </row>
    <row r="154" spans="1:10">
      <c r="A154" s="5"/>
      <c r="D154" s="5"/>
      <c r="E154" s="5"/>
      <c r="F154" s="5"/>
      <c r="G154" s="5"/>
      <c r="H154" s="5"/>
      <c r="I154" s="5"/>
      <c r="J154" s="5"/>
    </row>
    <row r="155" spans="1:10">
      <c r="A155" s="5"/>
      <c r="D155" s="5"/>
      <c r="E155" s="5"/>
      <c r="F155" s="5"/>
      <c r="G155" s="5"/>
      <c r="H155" s="5"/>
      <c r="I155" s="5"/>
      <c r="J155" s="5"/>
    </row>
    <row r="156" spans="1:10">
      <c r="A156" s="5"/>
      <c r="D156" s="5"/>
      <c r="E156" s="5"/>
      <c r="F156" s="5"/>
      <c r="G156" s="5"/>
      <c r="H156" s="5"/>
      <c r="I156" s="5"/>
      <c r="J156" s="5"/>
    </row>
    <row r="157" spans="1:10">
      <c r="A157" s="5"/>
      <c r="D157" s="5"/>
      <c r="E157" s="5"/>
      <c r="F157" s="5"/>
      <c r="G157" s="5"/>
      <c r="H157" s="5"/>
      <c r="I157" s="5"/>
      <c r="J157" s="5"/>
    </row>
    <row r="158" spans="1:10">
      <c r="A158" s="5"/>
      <c r="D158" s="5"/>
      <c r="E158" s="5"/>
      <c r="F158" s="5"/>
      <c r="G158" s="5"/>
      <c r="H158" s="5"/>
      <c r="I158" s="5"/>
      <c r="J158" s="5"/>
    </row>
  </sheetData>
  <mergeCells count="2">
    <mergeCell ref="A1:J1"/>
    <mergeCell ref="A2:J2"/>
  </mergeCells>
  <conditionalFormatting sqref="B1:B3">
    <cfRule type="cellIs" dxfId="12" priority="3" operator="equal">
      <formula>"Sat"</formula>
    </cfRule>
  </conditionalFormatting>
  <conditionalFormatting sqref="B4:B24">
    <cfRule type="containsText" dxfId="11" priority="2" operator="containsText" text="Sun">
      <formula>NOT(ISERROR(SEARCH("Sun",B4)))</formula>
    </cfRule>
  </conditionalFormatting>
  <conditionalFormatting sqref="B159:B201">
    <cfRule type="cellIs" dxfId="10" priority="1" operator="equal">
      <formula>"Sat"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C77C-B06C-40EA-AA53-D99F0537A313}">
  <dimension ref="A1:T160"/>
  <sheetViews>
    <sheetView zoomScale="90" zoomScaleNormal="90" workbookViewId="0">
      <pane xSplit="3" ySplit="3" topLeftCell="D129" activePane="bottomRight" state="frozen"/>
      <selection activeCell="K47" sqref="K47"/>
      <selection pane="topRight" activeCell="K47" sqref="K47"/>
      <selection pane="bottomLeft" activeCell="K47" sqref="K47"/>
      <selection pane="bottomRight" activeCell="A25" sqref="A25:J160"/>
    </sheetView>
  </sheetViews>
  <sheetFormatPr defaultRowHeight="15"/>
  <cols>
    <col min="1" max="1" width="10.85546875" style="1" bestFit="1" customWidth="1"/>
    <col min="2" max="2" width="10.85546875" style="5" customWidth="1"/>
    <col min="3" max="3" width="7.85546875" style="5" customWidth="1"/>
    <col min="4" max="4" width="11.7109375" style="1" bestFit="1" customWidth="1"/>
    <col min="5" max="7" width="11.85546875" style="1" bestFit="1" customWidth="1"/>
    <col min="8" max="9" width="12.5703125" style="1" bestFit="1" customWidth="1"/>
    <col min="10" max="10" width="11.85546875" style="1" bestFit="1" customWidth="1"/>
    <col min="11" max="11" width="35.5703125" style="5" bestFit="1" customWidth="1"/>
    <col min="12" max="12" width="13.42578125" style="1" bestFit="1" customWidth="1"/>
    <col min="13" max="13" width="11" style="1" customWidth="1"/>
    <col min="14" max="14" width="55.42578125" style="50" bestFit="1" customWidth="1"/>
    <col min="15" max="15" width="6.42578125" style="3" customWidth="1"/>
    <col min="16" max="16" width="8.5703125" style="2" bestFit="1" customWidth="1"/>
    <col min="17" max="17" width="9" style="2" bestFit="1" customWidth="1"/>
    <col min="18" max="18" width="25.7109375" style="12" bestFit="1" customWidth="1"/>
    <col min="19" max="16384" width="9.140625" style="2"/>
  </cols>
  <sheetData>
    <row r="1" spans="1:20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</row>
    <row r="2" spans="1:20" ht="18.75">
      <c r="A2" s="95" t="s">
        <v>197</v>
      </c>
      <c r="B2" s="95"/>
      <c r="C2" s="95"/>
      <c r="D2" s="95"/>
      <c r="E2" s="95"/>
      <c r="F2" s="95"/>
      <c r="G2" s="95"/>
      <c r="H2" s="95"/>
      <c r="I2" s="95"/>
      <c r="J2" s="95"/>
      <c r="L2" s="23"/>
      <c r="M2" s="23"/>
      <c r="N2" s="53"/>
      <c r="O2" s="23"/>
      <c r="P2" s="23"/>
      <c r="Q2" s="23"/>
      <c r="R2" s="23"/>
      <c r="S2" s="23"/>
      <c r="T2" s="23"/>
    </row>
    <row r="3" spans="1:20" s="1" customFormat="1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L3" s="11" t="s">
        <v>9</v>
      </c>
      <c r="M3" s="11"/>
      <c r="N3" s="54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8" t="s">
        <v>16</v>
      </c>
      <c r="T3" s="8" t="s">
        <v>17</v>
      </c>
    </row>
    <row r="4" spans="1:20">
      <c r="A4" s="24">
        <v>46237</v>
      </c>
      <c r="B4" s="4" t="s">
        <v>19</v>
      </c>
      <c r="C4" s="7">
        <v>1</v>
      </c>
      <c r="D4" s="61" t="s">
        <v>96</v>
      </c>
      <c r="E4" s="16" t="s">
        <v>119</v>
      </c>
      <c r="F4" s="4" t="s">
        <v>97</v>
      </c>
      <c r="G4" s="18"/>
      <c r="H4" s="15" t="s">
        <v>88</v>
      </c>
      <c r="I4" s="16" t="s">
        <v>98</v>
      </c>
      <c r="J4" s="61" t="s">
        <v>94</v>
      </c>
      <c r="L4" s="4" t="s">
        <v>83</v>
      </c>
      <c r="M4" s="4"/>
      <c r="N4" s="36" t="s">
        <v>41</v>
      </c>
      <c r="O4" s="25">
        <v>2</v>
      </c>
      <c r="P4" s="14">
        <f t="shared" ref="P4:P15" si="0">Q4/1.25</f>
        <v>24</v>
      </c>
      <c r="Q4" s="14">
        <f t="shared" ref="Q4:Q15" si="1">O4*15</f>
        <v>30</v>
      </c>
      <c r="R4" s="34" t="s">
        <v>200</v>
      </c>
      <c r="S4" s="13">
        <f>COUNTIF($D$4:$J$144,"AIM")</f>
        <v>3</v>
      </c>
      <c r="T4" s="13">
        <f t="shared" ref="T4:T15" si="2">P4-S4</f>
        <v>21</v>
      </c>
    </row>
    <row r="5" spans="1:20" ht="25.5">
      <c r="A5" s="24">
        <v>46238</v>
      </c>
      <c r="B5" s="4" t="s">
        <v>20</v>
      </c>
      <c r="C5" s="7">
        <f>C4+1</f>
        <v>2</v>
      </c>
      <c r="D5" s="61" t="s">
        <v>28</v>
      </c>
      <c r="E5" s="16" t="s">
        <v>175</v>
      </c>
      <c r="F5" s="16" t="s">
        <v>187</v>
      </c>
      <c r="G5" s="18"/>
      <c r="H5" s="16" t="s">
        <v>190</v>
      </c>
      <c r="I5" s="16" t="s">
        <v>83</v>
      </c>
      <c r="J5" s="61" t="s">
        <v>93</v>
      </c>
      <c r="L5" s="26" t="s">
        <v>84</v>
      </c>
      <c r="M5" s="26"/>
      <c r="N5" s="36" t="s">
        <v>42</v>
      </c>
      <c r="O5" s="27">
        <v>2</v>
      </c>
      <c r="P5" s="14">
        <f t="shared" si="0"/>
        <v>24</v>
      </c>
      <c r="Q5" s="14">
        <f t="shared" si="1"/>
        <v>30</v>
      </c>
      <c r="R5" s="31"/>
      <c r="S5" s="13">
        <f>COUNTIF($D$4:$J$144,"MA")</f>
        <v>0</v>
      </c>
      <c r="T5" s="13">
        <f t="shared" si="2"/>
        <v>24</v>
      </c>
    </row>
    <row r="6" spans="1:20" ht="25.5">
      <c r="A6" s="24">
        <v>46239</v>
      </c>
      <c r="B6" s="4" t="s">
        <v>21</v>
      </c>
      <c r="C6" s="7">
        <f t="shared" ref="C6:C9" si="3">C5+1</f>
        <v>3</v>
      </c>
      <c r="D6" s="17" t="s">
        <v>126</v>
      </c>
      <c r="E6" s="4" t="s">
        <v>95</v>
      </c>
      <c r="F6" s="17" t="s">
        <v>178</v>
      </c>
      <c r="G6" s="18"/>
      <c r="H6" s="16" t="s">
        <v>191</v>
      </c>
      <c r="I6" s="16" t="s">
        <v>184</v>
      </c>
      <c r="J6" s="61" t="s">
        <v>118</v>
      </c>
      <c r="L6" s="26" t="s">
        <v>32</v>
      </c>
      <c r="M6" s="26"/>
      <c r="N6" s="36" t="s">
        <v>43</v>
      </c>
      <c r="O6" s="25">
        <v>2</v>
      </c>
      <c r="P6" s="14">
        <f t="shared" si="0"/>
        <v>24</v>
      </c>
      <c r="Q6" s="14">
        <f t="shared" si="1"/>
        <v>30</v>
      </c>
      <c r="R6" s="35" t="s">
        <v>61</v>
      </c>
      <c r="S6" s="13">
        <f>COUNTIF($D$4:$J$144,"FT")</f>
        <v>0</v>
      </c>
      <c r="T6" s="13">
        <f t="shared" si="2"/>
        <v>24</v>
      </c>
    </row>
    <row r="7" spans="1:20" ht="25.5">
      <c r="A7" s="24">
        <v>46240</v>
      </c>
      <c r="B7" s="4" t="s">
        <v>22</v>
      </c>
      <c r="C7" s="7">
        <f t="shared" si="3"/>
        <v>4</v>
      </c>
      <c r="D7" s="4" t="s">
        <v>116</v>
      </c>
      <c r="E7" s="17" t="s">
        <v>183</v>
      </c>
      <c r="F7" s="16" t="s">
        <v>26</v>
      </c>
      <c r="G7" s="18"/>
      <c r="H7" s="16" t="s">
        <v>181</v>
      </c>
      <c r="I7" s="16" t="s">
        <v>192</v>
      </c>
      <c r="J7" s="61" t="s">
        <v>120</v>
      </c>
      <c r="L7" s="26" t="s">
        <v>129</v>
      </c>
      <c r="M7" s="26"/>
      <c r="N7" s="38" t="s">
        <v>55</v>
      </c>
      <c r="O7" s="28">
        <v>1</v>
      </c>
      <c r="P7" s="14">
        <f t="shared" si="0"/>
        <v>12</v>
      </c>
      <c r="Q7" s="14">
        <f t="shared" si="1"/>
        <v>15</v>
      </c>
      <c r="R7" s="31"/>
      <c r="S7" s="13">
        <f>COUNTIF($D$4:$J$144,"SFM")</f>
        <v>0</v>
      </c>
      <c r="T7" s="13">
        <f t="shared" si="2"/>
        <v>12</v>
      </c>
    </row>
    <row r="8" spans="1:20">
      <c r="A8" s="24">
        <v>46241</v>
      </c>
      <c r="B8" s="4" t="s">
        <v>23</v>
      </c>
      <c r="C8" s="7">
        <f t="shared" si="3"/>
        <v>5</v>
      </c>
      <c r="D8" s="73" t="s">
        <v>134</v>
      </c>
      <c r="E8" s="73" t="s">
        <v>134</v>
      </c>
      <c r="F8" s="73" t="s">
        <v>134</v>
      </c>
      <c r="G8" s="18"/>
      <c r="H8" s="73" t="s">
        <v>134</v>
      </c>
      <c r="I8" s="73" t="s">
        <v>134</v>
      </c>
      <c r="J8" s="73" t="s">
        <v>134</v>
      </c>
      <c r="L8" s="20" t="s">
        <v>117</v>
      </c>
      <c r="M8" s="20"/>
      <c r="N8" s="36" t="s">
        <v>136</v>
      </c>
      <c r="O8" s="39">
        <v>2</v>
      </c>
      <c r="P8" s="55">
        <f t="shared" si="0"/>
        <v>24</v>
      </c>
      <c r="Q8" s="55">
        <f t="shared" si="1"/>
        <v>30</v>
      </c>
      <c r="R8" s="56" t="s">
        <v>82</v>
      </c>
      <c r="S8" s="29">
        <f>COUNTIF($D$4:$J$144,"TAX")</f>
        <v>0</v>
      </c>
      <c r="T8" s="29">
        <f t="shared" si="2"/>
        <v>24</v>
      </c>
    </row>
    <row r="9" spans="1:20">
      <c r="A9" s="24">
        <v>46242</v>
      </c>
      <c r="B9" s="4" t="s">
        <v>24</v>
      </c>
      <c r="C9" s="7">
        <f t="shared" si="3"/>
        <v>6</v>
      </c>
      <c r="D9" s="73" t="s">
        <v>32</v>
      </c>
      <c r="E9" s="73" t="s">
        <v>32</v>
      </c>
      <c r="F9" s="73"/>
      <c r="G9" s="18"/>
      <c r="H9" s="73"/>
      <c r="I9" s="73"/>
      <c r="J9" s="73"/>
      <c r="L9" s="19" t="s">
        <v>120</v>
      </c>
      <c r="M9" s="19"/>
      <c r="N9" s="36" t="s">
        <v>137</v>
      </c>
      <c r="O9" s="39">
        <v>2</v>
      </c>
      <c r="P9" s="55">
        <f t="shared" si="0"/>
        <v>24</v>
      </c>
      <c r="Q9" s="55">
        <f t="shared" si="1"/>
        <v>30</v>
      </c>
      <c r="R9" s="76" t="s">
        <v>68</v>
      </c>
      <c r="S9" s="29">
        <f>COUNTIF($D$4:$J$144,"SAPM")</f>
        <v>3</v>
      </c>
      <c r="T9" s="29">
        <f t="shared" si="2"/>
        <v>21</v>
      </c>
    </row>
    <row r="10" spans="1:20">
      <c r="A10" s="24">
        <v>46243</v>
      </c>
      <c r="B10" s="4" t="s">
        <v>25</v>
      </c>
      <c r="C10" s="7"/>
      <c r="D10" s="21"/>
      <c r="E10" s="21"/>
      <c r="F10" s="22"/>
      <c r="G10" s="6"/>
      <c r="H10" s="22"/>
      <c r="I10" s="21"/>
      <c r="J10" s="75"/>
      <c r="L10" s="19" t="s">
        <v>85</v>
      </c>
      <c r="M10" s="19"/>
      <c r="N10" s="36" t="s">
        <v>138</v>
      </c>
      <c r="O10" s="39">
        <v>2</v>
      </c>
      <c r="P10" s="55">
        <f t="shared" si="0"/>
        <v>24</v>
      </c>
      <c r="Q10" s="55">
        <f t="shared" si="1"/>
        <v>30</v>
      </c>
      <c r="R10" s="76" t="s">
        <v>65</v>
      </c>
      <c r="S10" s="29">
        <f>COUNTIF($D$4:$J$144,"DSMM")</f>
        <v>3</v>
      </c>
      <c r="T10" s="29">
        <f t="shared" si="2"/>
        <v>21</v>
      </c>
    </row>
    <row r="11" spans="1:20">
      <c r="A11" s="24">
        <v>46244</v>
      </c>
      <c r="B11" s="4" t="s">
        <v>19</v>
      </c>
      <c r="C11" s="7">
        <f>C9+1</f>
        <v>7</v>
      </c>
      <c r="D11" s="61" t="s">
        <v>96</v>
      </c>
      <c r="E11" s="16" t="s">
        <v>119</v>
      </c>
      <c r="F11" s="4" t="s">
        <v>97</v>
      </c>
      <c r="G11" s="18"/>
      <c r="H11" s="15" t="s">
        <v>203</v>
      </c>
      <c r="I11" s="16" t="s">
        <v>98</v>
      </c>
      <c r="J11" s="61" t="s">
        <v>94</v>
      </c>
      <c r="L11" s="19" t="s">
        <v>86</v>
      </c>
      <c r="M11" s="19"/>
      <c r="N11" s="36" t="s">
        <v>139</v>
      </c>
      <c r="O11" s="39">
        <v>2</v>
      </c>
      <c r="P11" s="55">
        <f t="shared" si="0"/>
        <v>24</v>
      </c>
      <c r="Q11" s="55">
        <f t="shared" si="1"/>
        <v>30</v>
      </c>
      <c r="R11" s="76" t="s">
        <v>58</v>
      </c>
      <c r="S11" s="29">
        <f>COUNTIF($D$4:$J$144,"IMC")</f>
        <v>0</v>
      </c>
      <c r="T11" s="29">
        <f t="shared" si="2"/>
        <v>24</v>
      </c>
    </row>
    <row r="12" spans="1:20" ht="25.5">
      <c r="A12" s="24">
        <v>46245</v>
      </c>
      <c r="B12" s="4" t="s">
        <v>20</v>
      </c>
      <c r="C12" s="7">
        <f>C11+1</f>
        <v>8</v>
      </c>
      <c r="D12" s="61" t="s">
        <v>28</v>
      </c>
      <c r="E12" s="16" t="s">
        <v>175</v>
      </c>
      <c r="F12" s="16" t="s">
        <v>187</v>
      </c>
      <c r="G12" s="18"/>
      <c r="H12" s="16" t="s">
        <v>190</v>
      </c>
      <c r="I12" s="16" t="s">
        <v>83</v>
      </c>
      <c r="J12" s="61" t="s">
        <v>93</v>
      </c>
      <c r="L12" s="19" t="s">
        <v>87</v>
      </c>
      <c r="M12" s="19"/>
      <c r="N12" s="36" t="s">
        <v>140</v>
      </c>
      <c r="O12" s="39">
        <v>2</v>
      </c>
      <c r="P12" s="55">
        <f t="shared" si="0"/>
        <v>24</v>
      </c>
      <c r="Q12" s="55">
        <f t="shared" si="1"/>
        <v>30</v>
      </c>
      <c r="R12" s="76" t="s">
        <v>67</v>
      </c>
      <c r="S12" s="29">
        <f>COUNTIF($D$4:$J$144,"PS")</f>
        <v>0</v>
      </c>
      <c r="T12" s="29">
        <f t="shared" si="2"/>
        <v>24</v>
      </c>
    </row>
    <row r="13" spans="1:20" ht="25.5">
      <c r="A13" s="24">
        <v>46246</v>
      </c>
      <c r="B13" s="4" t="s">
        <v>21</v>
      </c>
      <c r="C13" s="7">
        <f t="shared" ref="C13:C15" si="4">C12+1</f>
        <v>9</v>
      </c>
      <c r="D13" s="17" t="s">
        <v>126</v>
      </c>
      <c r="E13" s="4" t="s">
        <v>95</v>
      </c>
      <c r="F13" s="17" t="s">
        <v>178</v>
      </c>
      <c r="G13" s="18"/>
      <c r="H13" s="16" t="s">
        <v>191</v>
      </c>
      <c r="I13" s="16" t="s">
        <v>184</v>
      </c>
      <c r="J13" s="61" t="s">
        <v>118</v>
      </c>
      <c r="L13" s="19" t="s">
        <v>88</v>
      </c>
      <c r="M13" s="19"/>
      <c r="N13" s="36" t="s">
        <v>141</v>
      </c>
      <c r="O13" s="39">
        <v>2</v>
      </c>
      <c r="P13" s="55">
        <f t="shared" si="0"/>
        <v>24</v>
      </c>
      <c r="Q13" s="55">
        <f t="shared" si="1"/>
        <v>30</v>
      </c>
      <c r="R13" s="76" t="s">
        <v>66</v>
      </c>
      <c r="S13" s="29">
        <f>COUNTIF($D$4:$J$144,"DDM")</f>
        <v>3</v>
      </c>
      <c r="T13" s="29">
        <f t="shared" si="2"/>
        <v>21</v>
      </c>
    </row>
    <row r="14" spans="1:20" ht="25.5">
      <c r="A14" s="24">
        <v>46247</v>
      </c>
      <c r="B14" s="4" t="s">
        <v>22</v>
      </c>
      <c r="C14" s="7">
        <f t="shared" si="4"/>
        <v>10</v>
      </c>
      <c r="D14" s="4" t="s">
        <v>116</v>
      </c>
      <c r="E14" s="17" t="s">
        <v>183</v>
      </c>
      <c r="F14" s="16" t="s">
        <v>26</v>
      </c>
      <c r="G14" s="18"/>
      <c r="H14" s="16" t="s">
        <v>181</v>
      </c>
      <c r="I14" s="16" t="s">
        <v>192</v>
      </c>
      <c r="J14" s="61" t="s">
        <v>120</v>
      </c>
      <c r="L14" s="19" t="s">
        <v>121</v>
      </c>
      <c r="M14" s="19"/>
      <c r="N14" s="36" t="s">
        <v>142</v>
      </c>
      <c r="O14" s="39">
        <v>2</v>
      </c>
      <c r="P14" s="55">
        <f t="shared" si="0"/>
        <v>24</v>
      </c>
      <c r="Q14" s="55">
        <f t="shared" si="1"/>
        <v>30</v>
      </c>
      <c r="R14" s="76"/>
      <c r="S14" s="29">
        <f>COUNTIF($D$4:$J$144,"EM")</f>
        <v>0</v>
      </c>
      <c r="T14" s="29">
        <f t="shared" si="2"/>
        <v>24</v>
      </c>
    </row>
    <row r="15" spans="1:20">
      <c r="A15" s="24">
        <v>46248</v>
      </c>
      <c r="B15" s="4" t="s">
        <v>23</v>
      </c>
      <c r="C15" s="7">
        <f t="shared" si="4"/>
        <v>11</v>
      </c>
      <c r="D15" s="73" t="s">
        <v>34</v>
      </c>
      <c r="E15" s="73" t="s">
        <v>34</v>
      </c>
      <c r="F15" s="73"/>
      <c r="G15" s="18"/>
      <c r="H15" s="73"/>
      <c r="I15" s="73"/>
      <c r="J15" s="73"/>
      <c r="L15" s="19" t="s">
        <v>122</v>
      </c>
      <c r="M15" s="19"/>
      <c r="N15" s="36" t="s">
        <v>143</v>
      </c>
      <c r="O15" s="39">
        <v>2</v>
      </c>
      <c r="P15" s="55">
        <f t="shared" si="0"/>
        <v>24</v>
      </c>
      <c r="Q15" s="55">
        <f t="shared" si="1"/>
        <v>30</v>
      </c>
      <c r="R15" s="76" t="s">
        <v>66</v>
      </c>
      <c r="S15" s="29">
        <f>COUNTIF($D$4:$J$144,"GSCM")</f>
        <v>0</v>
      </c>
      <c r="T15" s="29">
        <f t="shared" si="2"/>
        <v>24</v>
      </c>
    </row>
    <row r="16" spans="1:20">
      <c r="A16" s="24">
        <v>46249</v>
      </c>
      <c r="B16" s="4" t="s">
        <v>24</v>
      </c>
      <c r="C16" s="9" t="s">
        <v>33</v>
      </c>
      <c r="D16" s="73"/>
      <c r="E16" s="73"/>
      <c r="F16" s="73"/>
      <c r="G16" s="18"/>
      <c r="H16" s="73"/>
      <c r="I16" s="73"/>
      <c r="J16" s="73"/>
      <c r="L16" s="19"/>
      <c r="M16" s="19"/>
      <c r="N16" s="37" t="s">
        <v>35</v>
      </c>
      <c r="O16" s="70">
        <v>4</v>
      </c>
      <c r="P16" s="55">
        <f t="shared" ref="P16:P27" si="5">Q16/1.25</f>
        <v>48</v>
      </c>
      <c r="Q16" s="55">
        <f t="shared" ref="Q16:Q27" si="6">O16*15</f>
        <v>60</v>
      </c>
      <c r="R16" s="56"/>
      <c r="S16" s="29">
        <f>COUNTIF($D$4:$J$144,"WAAL")</f>
        <v>0</v>
      </c>
      <c r="T16" s="29">
        <f t="shared" ref="T16:T27" si="7">P16-S16</f>
        <v>48</v>
      </c>
    </row>
    <row r="17" spans="1:20">
      <c r="A17" s="24">
        <v>46250</v>
      </c>
      <c r="B17" s="4" t="s">
        <v>25</v>
      </c>
      <c r="C17" s="9"/>
      <c r="D17" s="21"/>
      <c r="E17" s="21"/>
      <c r="F17" s="22"/>
      <c r="G17" s="6"/>
      <c r="H17" s="22"/>
      <c r="I17" s="21"/>
      <c r="J17" s="75"/>
      <c r="L17" s="19" t="s">
        <v>123</v>
      </c>
      <c r="M17" s="19"/>
      <c r="N17" s="37" t="s">
        <v>144</v>
      </c>
      <c r="O17" s="72">
        <v>2</v>
      </c>
      <c r="P17" s="55">
        <f t="shared" si="5"/>
        <v>24</v>
      </c>
      <c r="Q17" s="55">
        <f t="shared" si="6"/>
        <v>30</v>
      </c>
      <c r="R17" s="56"/>
      <c r="S17" s="29">
        <f>COUNTIF($D$4:$J$144,"GTO")</f>
        <v>0</v>
      </c>
      <c r="T17" s="29">
        <f t="shared" si="7"/>
        <v>24</v>
      </c>
    </row>
    <row r="18" spans="1:20">
      <c r="A18" s="24">
        <v>46251</v>
      </c>
      <c r="B18" s="4" t="s">
        <v>19</v>
      </c>
      <c r="C18" s="9">
        <f>C15+1</f>
        <v>12</v>
      </c>
      <c r="D18" s="61" t="s">
        <v>96</v>
      </c>
      <c r="E18" s="16" t="s">
        <v>119</v>
      </c>
      <c r="F18" s="4" t="s">
        <v>97</v>
      </c>
      <c r="G18" s="18"/>
      <c r="H18" s="15" t="s">
        <v>203</v>
      </c>
      <c r="I18" s="16" t="s">
        <v>98</v>
      </c>
      <c r="J18" s="61" t="s">
        <v>94</v>
      </c>
      <c r="K18" s="5" t="s">
        <v>216</v>
      </c>
      <c r="L18" s="19" t="s">
        <v>89</v>
      </c>
      <c r="M18" s="19"/>
      <c r="N18" s="37" t="s">
        <v>145</v>
      </c>
      <c r="O18" s="72">
        <v>2</v>
      </c>
      <c r="P18" s="55">
        <f t="shared" si="5"/>
        <v>24</v>
      </c>
      <c r="Q18" s="55">
        <f t="shared" si="6"/>
        <v>30</v>
      </c>
      <c r="R18" s="56" t="s">
        <v>80</v>
      </c>
      <c r="S18" s="29">
        <f>COUNTIF($D$4:$J$144,"RSCM")</f>
        <v>0</v>
      </c>
      <c r="T18" s="29">
        <f t="shared" si="7"/>
        <v>24</v>
      </c>
    </row>
    <row r="19" spans="1:20" ht="25.5">
      <c r="A19" s="24">
        <v>46252</v>
      </c>
      <c r="B19" s="4" t="s">
        <v>20</v>
      </c>
      <c r="C19" s="9">
        <f>C18+1</f>
        <v>13</v>
      </c>
      <c r="D19" s="61" t="s">
        <v>28</v>
      </c>
      <c r="E19" s="16" t="s">
        <v>175</v>
      </c>
      <c r="F19" s="16" t="s">
        <v>187</v>
      </c>
      <c r="G19" s="18"/>
      <c r="H19" s="16" t="s">
        <v>190</v>
      </c>
      <c r="I19" s="16" t="s">
        <v>83</v>
      </c>
      <c r="J19" s="61" t="s">
        <v>93</v>
      </c>
      <c r="K19" s="5" t="s">
        <v>217</v>
      </c>
      <c r="L19" s="64" t="s">
        <v>90</v>
      </c>
      <c r="M19" s="64"/>
      <c r="N19" s="65" t="s">
        <v>146</v>
      </c>
      <c r="O19" s="66">
        <v>2</v>
      </c>
      <c r="P19" s="67">
        <f t="shared" si="5"/>
        <v>24</v>
      </c>
      <c r="Q19" s="67">
        <f t="shared" si="6"/>
        <v>30</v>
      </c>
      <c r="R19" s="68" t="s">
        <v>30</v>
      </c>
      <c r="S19" s="69">
        <f>COUNTIF($D$4:$J$144,"IHRM")</f>
        <v>0</v>
      </c>
      <c r="T19" s="69">
        <f t="shared" si="7"/>
        <v>24</v>
      </c>
    </row>
    <row r="20" spans="1:20" ht="25.5">
      <c r="A20" s="24">
        <v>46253</v>
      </c>
      <c r="B20" s="4" t="s">
        <v>21</v>
      </c>
      <c r="C20" s="9">
        <f t="shared" ref="C20:C23" si="8">C19+1</f>
        <v>14</v>
      </c>
      <c r="D20" s="17" t="s">
        <v>126</v>
      </c>
      <c r="E20" s="4" t="s">
        <v>95</v>
      </c>
      <c r="F20" s="17" t="s">
        <v>178</v>
      </c>
      <c r="G20" s="18"/>
      <c r="H20" s="16" t="s">
        <v>191</v>
      </c>
      <c r="I20" s="16" t="s">
        <v>184</v>
      </c>
      <c r="J20" s="61" t="s">
        <v>118</v>
      </c>
      <c r="L20" s="19" t="s">
        <v>124</v>
      </c>
      <c r="M20" s="19"/>
      <c r="N20" s="36" t="s">
        <v>147</v>
      </c>
      <c r="O20" s="41">
        <v>2</v>
      </c>
      <c r="P20" s="55">
        <f t="shared" si="5"/>
        <v>24</v>
      </c>
      <c r="Q20" s="55">
        <f t="shared" si="6"/>
        <v>30</v>
      </c>
      <c r="R20" s="56" t="s">
        <v>69</v>
      </c>
      <c r="S20" s="29">
        <f>COUNTIF($D$4:$J$144,"LEI")</f>
        <v>0</v>
      </c>
      <c r="T20" s="29">
        <f t="shared" si="7"/>
        <v>24</v>
      </c>
    </row>
    <row r="21" spans="1:20" ht="25.5">
      <c r="A21" s="24">
        <v>46254</v>
      </c>
      <c r="B21" s="4" t="s">
        <v>22</v>
      </c>
      <c r="C21" s="9">
        <f t="shared" si="8"/>
        <v>15</v>
      </c>
      <c r="D21" s="4" t="s">
        <v>116</v>
      </c>
      <c r="E21" s="17" t="s">
        <v>183</v>
      </c>
      <c r="F21" s="16" t="s">
        <v>26</v>
      </c>
      <c r="G21" s="18"/>
      <c r="H21" s="16" t="s">
        <v>202</v>
      </c>
      <c r="I21" s="16" t="s">
        <v>192</v>
      </c>
      <c r="J21" s="61" t="s">
        <v>120</v>
      </c>
      <c r="L21" s="19" t="s">
        <v>91</v>
      </c>
      <c r="M21" s="19"/>
      <c r="N21" s="36" t="s">
        <v>36</v>
      </c>
      <c r="O21" s="39">
        <v>2</v>
      </c>
      <c r="P21" s="55">
        <f t="shared" si="5"/>
        <v>24</v>
      </c>
      <c r="Q21" s="55">
        <f t="shared" si="6"/>
        <v>30</v>
      </c>
      <c r="R21" s="56" t="s">
        <v>193</v>
      </c>
      <c r="S21" s="29">
        <f>COUNTIF($D$4:$J$144,"CRP3")</f>
        <v>9</v>
      </c>
      <c r="T21" s="29">
        <f t="shared" si="7"/>
        <v>15</v>
      </c>
    </row>
    <row r="22" spans="1:20">
      <c r="A22" s="24">
        <v>46255</v>
      </c>
      <c r="B22" s="4" t="s">
        <v>23</v>
      </c>
      <c r="C22" s="9">
        <f t="shared" si="8"/>
        <v>16</v>
      </c>
      <c r="D22" s="73" t="s">
        <v>34</v>
      </c>
      <c r="E22" s="73" t="s">
        <v>34</v>
      </c>
      <c r="F22" s="73" t="s">
        <v>44</v>
      </c>
      <c r="G22" s="18"/>
      <c r="H22" s="73" t="s">
        <v>134</v>
      </c>
      <c r="I22" s="73" t="s">
        <v>134</v>
      </c>
      <c r="J22" s="73" t="s">
        <v>134</v>
      </c>
      <c r="L22" s="19" t="s">
        <v>125</v>
      </c>
      <c r="M22" s="19"/>
      <c r="N22" s="36" t="s">
        <v>148</v>
      </c>
      <c r="O22" s="39">
        <v>2</v>
      </c>
      <c r="P22" s="55">
        <f t="shared" si="5"/>
        <v>24</v>
      </c>
      <c r="Q22" s="55">
        <f t="shared" si="6"/>
        <v>30</v>
      </c>
      <c r="R22" s="56" t="s">
        <v>130</v>
      </c>
      <c r="S22" s="29">
        <f>COUNTIF($D$4:$J$144,"NEG")</f>
        <v>0</v>
      </c>
      <c r="T22" s="29">
        <f t="shared" si="7"/>
        <v>24</v>
      </c>
    </row>
    <row r="23" spans="1:20">
      <c r="A23" s="24">
        <v>46256</v>
      </c>
      <c r="B23" s="4" t="s">
        <v>24</v>
      </c>
      <c r="C23" s="9">
        <f t="shared" si="8"/>
        <v>17</v>
      </c>
      <c r="D23" s="73" t="s">
        <v>32</v>
      </c>
      <c r="E23" s="73" t="s">
        <v>32</v>
      </c>
      <c r="F23" s="73"/>
      <c r="G23" s="18"/>
      <c r="H23" s="73"/>
      <c r="I23" s="73"/>
      <c r="J23" s="73"/>
      <c r="L23" s="32" t="s">
        <v>92</v>
      </c>
      <c r="M23" s="32"/>
      <c r="N23" s="62" t="s">
        <v>149</v>
      </c>
      <c r="O23" s="39">
        <v>2</v>
      </c>
      <c r="P23" s="55">
        <f t="shared" si="5"/>
        <v>24</v>
      </c>
      <c r="Q23" s="55">
        <f t="shared" si="6"/>
        <v>30</v>
      </c>
      <c r="R23" s="56" t="s">
        <v>70</v>
      </c>
      <c r="S23" s="29">
        <f>COUNTIF($D$4:$J$144,"SHRM")</f>
        <v>0</v>
      </c>
      <c r="T23" s="29">
        <f t="shared" si="7"/>
        <v>24</v>
      </c>
    </row>
    <row r="24" spans="1:20">
      <c r="A24" s="24">
        <v>46257</v>
      </c>
      <c r="B24" s="4" t="s">
        <v>25</v>
      </c>
      <c r="C24" s="9"/>
      <c r="D24" s="21"/>
      <c r="E24" s="21"/>
      <c r="F24" s="22"/>
      <c r="G24" s="6"/>
      <c r="H24" s="22"/>
      <c r="I24" s="21"/>
      <c r="J24" s="75"/>
      <c r="L24" s="19" t="s">
        <v>29</v>
      </c>
      <c r="M24" s="19"/>
      <c r="N24" s="37" t="s">
        <v>150</v>
      </c>
      <c r="O24" s="74">
        <v>2</v>
      </c>
      <c r="P24" s="55">
        <f t="shared" si="5"/>
        <v>24</v>
      </c>
      <c r="Q24" s="55">
        <f t="shared" si="6"/>
        <v>30</v>
      </c>
      <c r="R24" s="56" t="s">
        <v>71</v>
      </c>
      <c r="S24" s="29">
        <f>COUNTIF($D$4:$J$144,"CABA")</f>
        <v>0</v>
      </c>
      <c r="T24" s="29">
        <f t="shared" si="7"/>
        <v>24</v>
      </c>
    </row>
    <row r="25" spans="1:20">
      <c r="A25" s="5"/>
      <c r="D25" s="5"/>
      <c r="E25" s="5"/>
      <c r="F25" s="5"/>
      <c r="G25" s="5"/>
      <c r="H25" s="5"/>
      <c r="I25" s="5"/>
      <c r="J25" s="5"/>
      <c r="L25" s="19" t="s">
        <v>114</v>
      </c>
      <c r="M25" s="19"/>
      <c r="N25" s="37" t="s">
        <v>151</v>
      </c>
      <c r="O25" s="74">
        <v>2</v>
      </c>
      <c r="P25" s="55">
        <f t="shared" si="5"/>
        <v>24</v>
      </c>
      <c r="Q25" s="55">
        <f t="shared" si="6"/>
        <v>30</v>
      </c>
      <c r="R25" s="56" t="s">
        <v>130</v>
      </c>
      <c r="S25" s="29">
        <f>COUNTIF($D$4:$J$144,"DABA")</f>
        <v>0</v>
      </c>
      <c r="T25" s="29">
        <f t="shared" si="7"/>
        <v>24</v>
      </c>
    </row>
    <row r="26" spans="1:20">
      <c r="A26" s="5"/>
      <c r="D26" s="5"/>
      <c r="E26" s="5"/>
      <c r="F26" s="5"/>
      <c r="G26" s="5"/>
      <c r="H26" s="5"/>
      <c r="I26" s="5"/>
      <c r="J26" s="5"/>
      <c r="L26" s="19" t="s">
        <v>179</v>
      </c>
      <c r="M26" s="19"/>
      <c r="N26" s="71" t="s">
        <v>180</v>
      </c>
      <c r="O26" s="74">
        <v>2</v>
      </c>
      <c r="P26" s="55">
        <f t="shared" si="5"/>
        <v>24</v>
      </c>
      <c r="Q26" s="55">
        <f t="shared" si="6"/>
        <v>30</v>
      </c>
      <c r="R26" s="37" t="s">
        <v>201</v>
      </c>
      <c r="S26" s="29">
        <f>COUNTIF($D$4:$J$144,"DABA")</f>
        <v>0</v>
      </c>
      <c r="T26" s="29">
        <f t="shared" si="7"/>
        <v>24</v>
      </c>
    </row>
    <row r="27" spans="1:20">
      <c r="A27" s="5"/>
      <c r="D27" s="5"/>
      <c r="E27" s="5"/>
      <c r="F27" s="5"/>
      <c r="G27" s="5"/>
      <c r="H27" s="5"/>
      <c r="I27" s="5"/>
      <c r="J27" s="5"/>
      <c r="L27" s="19" t="s">
        <v>93</v>
      </c>
      <c r="M27" s="19"/>
      <c r="N27" s="37" t="s">
        <v>152</v>
      </c>
      <c r="O27" s="74">
        <v>2</v>
      </c>
      <c r="P27" s="55">
        <f t="shared" si="5"/>
        <v>24</v>
      </c>
      <c r="Q27" s="55">
        <f t="shared" si="6"/>
        <v>30</v>
      </c>
      <c r="R27" s="56" t="s">
        <v>72</v>
      </c>
      <c r="S27" s="29">
        <f>COUNTIF($D$4:$J$144,"BI")</f>
        <v>3</v>
      </c>
      <c r="T27" s="29">
        <f t="shared" si="7"/>
        <v>21</v>
      </c>
    </row>
    <row r="28" spans="1:20">
      <c r="A28" s="5"/>
      <c r="D28" s="5"/>
      <c r="E28" s="5"/>
      <c r="F28" s="5"/>
      <c r="G28" s="5"/>
      <c r="H28" s="5"/>
      <c r="I28" s="5"/>
      <c r="J28" s="5"/>
      <c r="L28" s="19" t="s">
        <v>94</v>
      </c>
      <c r="M28" s="19"/>
      <c r="N28" s="37" t="s">
        <v>153</v>
      </c>
      <c r="O28" s="74">
        <v>2</v>
      </c>
      <c r="P28" s="55">
        <f t="shared" ref="P28:P40" si="9">Q28/1.25</f>
        <v>24</v>
      </c>
      <c r="Q28" s="55">
        <f t="shared" ref="Q28:Q40" si="10">O28*15</f>
        <v>30</v>
      </c>
      <c r="R28" s="56" t="s">
        <v>73</v>
      </c>
      <c r="S28" s="29">
        <f t="shared" ref="S28:S65" si="11">COUNTIF($D$4:$J$144,"TA")</f>
        <v>0</v>
      </c>
      <c r="T28" s="29">
        <f t="shared" ref="T28:T40" si="12">P28-S28</f>
        <v>24</v>
      </c>
    </row>
    <row r="29" spans="1:20">
      <c r="A29" s="5"/>
      <c r="D29" s="5"/>
      <c r="E29" s="5"/>
      <c r="F29" s="5"/>
      <c r="G29" s="5"/>
      <c r="H29" s="5"/>
      <c r="I29" s="5"/>
      <c r="J29" s="5"/>
      <c r="L29" s="64" t="s">
        <v>115</v>
      </c>
      <c r="M29" s="64"/>
      <c r="N29" s="65" t="s">
        <v>154</v>
      </c>
      <c r="O29" s="39">
        <v>2</v>
      </c>
      <c r="P29" s="55">
        <f t="shared" si="9"/>
        <v>24</v>
      </c>
      <c r="Q29" s="55">
        <f t="shared" si="10"/>
        <v>30</v>
      </c>
      <c r="R29" s="56" t="s">
        <v>131</v>
      </c>
      <c r="S29" s="29">
        <f t="shared" si="11"/>
        <v>0</v>
      </c>
      <c r="T29" s="29">
        <f t="shared" si="12"/>
        <v>24</v>
      </c>
    </row>
    <row r="30" spans="1:20">
      <c r="A30" s="5"/>
      <c r="D30" s="5"/>
      <c r="E30" s="5"/>
      <c r="F30" s="5"/>
      <c r="G30" s="5"/>
      <c r="H30" s="5"/>
      <c r="I30" s="5"/>
      <c r="J30" s="5"/>
      <c r="L30" s="19" t="s">
        <v>118</v>
      </c>
      <c r="M30" s="19"/>
      <c r="N30" s="36" t="s">
        <v>155</v>
      </c>
      <c r="O30" s="39">
        <v>2</v>
      </c>
      <c r="P30" s="55">
        <f t="shared" si="9"/>
        <v>24</v>
      </c>
      <c r="Q30" s="55">
        <f t="shared" si="10"/>
        <v>30</v>
      </c>
      <c r="R30" s="56" t="s">
        <v>63</v>
      </c>
      <c r="S30" s="29">
        <f t="shared" si="11"/>
        <v>0</v>
      </c>
      <c r="T30" s="29">
        <f t="shared" si="12"/>
        <v>24</v>
      </c>
    </row>
    <row r="31" spans="1:20">
      <c r="A31" s="5"/>
      <c r="D31" s="5"/>
      <c r="E31" s="5"/>
      <c r="F31" s="5"/>
      <c r="G31" s="5"/>
      <c r="H31" s="5"/>
      <c r="I31" s="5"/>
      <c r="J31" s="5"/>
      <c r="L31" s="19" t="s">
        <v>95</v>
      </c>
      <c r="M31" s="19"/>
      <c r="N31" s="36" t="s">
        <v>156</v>
      </c>
      <c r="O31" s="39">
        <v>2</v>
      </c>
      <c r="P31" s="55">
        <f t="shared" si="9"/>
        <v>24</v>
      </c>
      <c r="Q31" s="55">
        <f t="shared" si="10"/>
        <v>30</v>
      </c>
      <c r="R31" s="76" t="s">
        <v>189</v>
      </c>
      <c r="S31" s="29">
        <f t="shared" si="11"/>
        <v>0</v>
      </c>
      <c r="T31" s="29">
        <f t="shared" si="12"/>
        <v>24</v>
      </c>
    </row>
    <row r="32" spans="1:20">
      <c r="A32" s="5"/>
      <c r="D32" s="5"/>
      <c r="E32" s="5"/>
      <c r="F32" s="5"/>
      <c r="G32" s="5"/>
      <c r="H32" s="5"/>
      <c r="I32" s="5"/>
      <c r="J32" s="5"/>
      <c r="L32" s="19" t="s">
        <v>126</v>
      </c>
      <c r="M32" s="19"/>
      <c r="N32" s="36" t="s">
        <v>157</v>
      </c>
      <c r="O32" s="39">
        <v>2</v>
      </c>
      <c r="P32" s="55">
        <f t="shared" si="9"/>
        <v>24</v>
      </c>
      <c r="Q32" s="55">
        <f t="shared" si="10"/>
        <v>30</v>
      </c>
      <c r="R32" s="56" t="s">
        <v>59</v>
      </c>
      <c r="S32" s="29">
        <f t="shared" si="11"/>
        <v>0</v>
      </c>
      <c r="T32" s="29">
        <f t="shared" si="12"/>
        <v>24</v>
      </c>
    </row>
    <row r="33" spans="1:20">
      <c r="A33" s="5"/>
      <c r="D33" s="5"/>
      <c r="E33" s="5"/>
      <c r="F33" s="5"/>
      <c r="G33" s="5"/>
      <c r="H33" s="5"/>
      <c r="I33" s="5"/>
      <c r="J33" s="5"/>
      <c r="L33" s="19" t="s">
        <v>116</v>
      </c>
      <c r="M33" s="19"/>
      <c r="N33" s="36" t="s">
        <v>158</v>
      </c>
      <c r="O33" s="39">
        <v>2</v>
      </c>
      <c r="P33" s="55">
        <f t="shared" si="9"/>
        <v>24</v>
      </c>
      <c r="Q33" s="55">
        <f t="shared" si="10"/>
        <v>30</v>
      </c>
      <c r="R33" s="56" t="s">
        <v>60</v>
      </c>
      <c r="S33" s="29">
        <f t="shared" si="11"/>
        <v>0</v>
      </c>
      <c r="T33" s="29">
        <f t="shared" si="12"/>
        <v>24</v>
      </c>
    </row>
    <row r="34" spans="1:20">
      <c r="A34" s="5"/>
      <c r="D34" s="5"/>
      <c r="E34" s="5"/>
      <c r="F34" s="5"/>
      <c r="G34" s="5"/>
      <c r="H34" s="5"/>
      <c r="I34" s="5"/>
      <c r="J34" s="5"/>
      <c r="L34" s="19" t="s">
        <v>96</v>
      </c>
      <c r="M34" s="19"/>
      <c r="N34" s="36" t="s">
        <v>159</v>
      </c>
      <c r="O34" s="39">
        <v>2</v>
      </c>
      <c r="P34" s="55">
        <f t="shared" si="9"/>
        <v>24</v>
      </c>
      <c r="Q34" s="55">
        <f t="shared" si="10"/>
        <v>30</v>
      </c>
      <c r="R34" s="56" t="s">
        <v>27</v>
      </c>
      <c r="S34" s="29">
        <f t="shared" si="11"/>
        <v>0</v>
      </c>
      <c r="T34" s="29">
        <f t="shared" si="12"/>
        <v>24</v>
      </c>
    </row>
    <row r="35" spans="1:20">
      <c r="A35" s="5"/>
      <c r="D35" s="5"/>
      <c r="E35" s="5"/>
      <c r="F35" s="5"/>
      <c r="G35" s="5"/>
      <c r="H35" s="5"/>
      <c r="I35" s="5"/>
      <c r="J35" s="5"/>
      <c r="L35" s="19" t="s">
        <v>119</v>
      </c>
      <c r="M35" s="19"/>
      <c r="N35" s="36" t="s">
        <v>160</v>
      </c>
      <c r="O35" s="39">
        <v>2</v>
      </c>
      <c r="P35" s="55">
        <f t="shared" si="9"/>
        <v>24</v>
      </c>
      <c r="Q35" s="55">
        <f t="shared" si="10"/>
        <v>30</v>
      </c>
      <c r="R35" s="56" t="s">
        <v>30</v>
      </c>
      <c r="S35" s="29">
        <f t="shared" si="11"/>
        <v>0</v>
      </c>
      <c r="T35" s="29">
        <f t="shared" si="12"/>
        <v>24</v>
      </c>
    </row>
    <row r="36" spans="1:20">
      <c r="A36" s="5"/>
      <c r="D36" s="5"/>
      <c r="E36" s="5"/>
      <c r="F36" s="5"/>
      <c r="G36" s="5"/>
      <c r="H36" s="5"/>
      <c r="I36" s="5"/>
      <c r="J36" s="5"/>
      <c r="L36" s="19" t="s">
        <v>26</v>
      </c>
      <c r="M36" s="19"/>
      <c r="N36" s="36" t="s">
        <v>161</v>
      </c>
      <c r="O36" s="39">
        <v>2</v>
      </c>
      <c r="P36" s="55">
        <f t="shared" si="9"/>
        <v>24</v>
      </c>
      <c r="Q36" s="55">
        <f t="shared" si="10"/>
        <v>30</v>
      </c>
      <c r="R36" s="56" t="s">
        <v>69</v>
      </c>
      <c r="S36" s="29">
        <f t="shared" si="11"/>
        <v>0</v>
      </c>
      <c r="T36" s="29">
        <f t="shared" si="12"/>
        <v>24</v>
      </c>
    </row>
    <row r="37" spans="1:20">
      <c r="A37" s="5"/>
      <c r="D37" s="5"/>
      <c r="E37" s="5"/>
      <c r="F37" s="5"/>
      <c r="G37" s="5"/>
      <c r="H37" s="5"/>
      <c r="I37" s="5"/>
      <c r="J37" s="5"/>
      <c r="L37" s="19" t="s">
        <v>97</v>
      </c>
      <c r="M37" s="19"/>
      <c r="N37" s="36" t="s">
        <v>162</v>
      </c>
      <c r="O37" s="39">
        <v>2</v>
      </c>
      <c r="P37" s="55">
        <f t="shared" si="9"/>
        <v>24</v>
      </c>
      <c r="Q37" s="55">
        <f t="shared" si="10"/>
        <v>30</v>
      </c>
      <c r="R37" s="56" t="s">
        <v>74</v>
      </c>
      <c r="S37" s="29">
        <f t="shared" si="11"/>
        <v>0</v>
      </c>
      <c r="T37" s="29">
        <f t="shared" si="12"/>
        <v>24</v>
      </c>
    </row>
    <row r="38" spans="1:20">
      <c r="A38" s="5"/>
      <c r="D38" s="5"/>
      <c r="E38" s="5"/>
      <c r="F38" s="5"/>
      <c r="G38" s="5"/>
      <c r="H38" s="5"/>
      <c r="I38" s="5"/>
      <c r="J38" s="5"/>
      <c r="L38" s="19" t="s">
        <v>98</v>
      </c>
      <c r="M38" s="19"/>
      <c r="N38" s="36" t="s">
        <v>163</v>
      </c>
      <c r="O38" s="39">
        <v>2</v>
      </c>
      <c r="P38" s="55">
        <f t="shared" si="9"/>
        <v>24</v>
      </c>
      <c r="Q38" s="55">
        <f t="shared" si="10"/>
        <v>30</v>
      </c>
      <c r="R38" s="56" t="s">
        <v>75</v>
      </c>
      <c r="S38" s="29">
        <f t="shared" si="11"/>
        <v>0</v>
      </c>
      <c r="T38" s="29">
        <f t="shared" si="12"/>
        <v>24</v>
      </c>
    </row>
    <row r="39" spans="1:20">
      <c r="A39" s="5"/>
      <c r="D39" s="5"/>
      <c r="E39" s="5"/>
      <c r="F39" s="5"/>
      <c r="G39" s="5"/>
      <c r="H39" s="5"/>
      <c r="I39" s="5"/>
      <c r="J39" s="5"/>
      <c r="L39" s="19" t="s">
        <v>28</v>
      </c>
      <c r="M39" s="19"/>
      <c r="N39" s="36" t="s">
        <v>164</v>
      </c>
      <c r="O39" s="39">
        <v>2</v>
      </c>
      <c r="P39" s="55">
        <f t="shared" si="9"/>
        <v>24</v>
      </c>
      <c r="Q39" s="55">
        <f t="shared" si="10"/>
        <v>30</v>
      </c>
      <c r="R39" s="37" t="s">
        <v>185</v>
      </c>
      <c r="S39" s="29">
        <f t="shared" si="11"/>
        <v>0</v>
      </c>
      <c r="T39" s="29">
        <f t="shared" si="12"/>
        <v>24</v>
      </c>
    </row>
    <row r="40" spans="1:20">
      <c r="A40" s="5"/>
      <c r="D40" s="5"/>
      <c r="E40" s="5"/>
      <c r="F40" s="5"/>
      <c r="G40" s="5"/>
      <c r="H40" s="5"/>
      <c r="I40" s="5"/>
      <c r="J40" s="5"/>
      <c r="L40" s="79"/>
      <c r="M40" s="79"/>
      <c r="N40" s="80" t="s">
        <v>204</v>
      </c>
      <c r="O40" s="81">
        <v>2</v>
      </c>
      <c r="P40" s="82">
        <f t="shared" si="9"/>
        <v>24</v>
      </c>
      <c r="Q40" s="82">
        <f t="shared" si="10"/>
        <v>30</v>
      </c>
      <c r="R40" s="83" t="s">
        <v>211</v>
      </c>
      <c r="S40" s="84">
        <f t="shared" si="11"/>
        <v>0</v>
      </c>
      <c r="T40" s="84">
        <f t="shared" si="12"/>
        <v>24</v>
      </c>
    </row>
    <row r="41" spans="1:20">
      <c r="A41" s="5"/>
      <c r="D41" s="5"/>
      <c r="E41" s="5"/>
      <c r="F41" s="5"/>
      <c r="G41" s="5"/>
      <c r="H41" s="5"/>
      <c r="I41" s="5"/>
      <c r="J41" s="5"/>
      <c r="L41" s="19" t="s">
        <v>127</v>
      </c>
      <c r="M41" s="19"/>
      <c r="N41" s="42" t="s">
        <v>165</v>
      </c>
      <c r="O41" s="41">
        <v>2</v>
      </c>
      <c r="P41" s="55">
        <f t="shared" ref="P41:P60" si="13">Q41/1.25</f>
        <v>24</v>
      </c>
      <c r="Q41" s="55">
        <f t="shared" ref="Q41:Q60" si="14">O41*15</f>
        <v>30</v>
      </c>
      <c r="R41" s="56"/>
      <c r="S41" s="29">
        <f t="shared" si="11"/>
        <v>0</v>
      </c>
      <c r="T41" s="29">
        <f t="shared" ref="T41:T60" si="15">P41-S41</f>
        <v>24</v>
      </c>
    </row>
    <row r="42" spans="1:20">
      <c r="A42" s="5"/>
      <c r="D42" s="5"/>
      <c r="E42" s="5"/>
      <c r="F42" s="5"/>
      <c r="G42" s="5"/>
      <c r="H42" s="5"/>
      <c r="I42" s="5"/>
      <c r="J42" s="5"/>
      <c r="L42" s="19" t="s">
        <v>99</v>
      </c>
      <c r="M42" s="19"/>
      <c r="N42" s="42" t="s">
        <v>166</v>
      </c>
      <c r="O42" s="41">
        <v>2</v>
      </c>
      <c r="P42" s="55">
        <f t="shared" si="13"/>
        <v>24</v>
      </c>
      <c r="Q42" s="55">
        <f t="shared" si="14"/>
        <v>30</v>
      </c>
      <c r="R42" s="56"/>
      <c r="S42" s="29">
        <f t="shared" si="11"/>
        <v>0</v>
      </c>
      <c r="T42" s="29">
        <f t="shared" si="15"/>
        <v>24</v>
      </c>
    </row>
    <row r="43" spans="1:20">
      <c r="A43" s="5"/>
      <c r="D43" s="5"/>
      <c r="E43" s="5"/>
      <c r="F43" s="5"/>
      <c r="G43" s="5"/>
      <c r="H43" s="5"/>
      <c r="I43" s="5"/>
      <c r="J43" s="5"/>
      <c r="L43" s="19" t="s">
        <v>100</v>
      </c>
      <c r="M43" s="19"/>
      <c r="N43" s="42" t="s">
        <v>167</v>
      </c>
      <c r="O43" s="41">
        <v>2</v>
      </c>
      <c r="P43" s="55">
        <f t="shared" si="13"/>
        <v>24</v>
      </c>
      <c r="Q43" s="55">
        <f t="shared" si="14"/>
        <v>30</v>
      </c>
      <c r="R43" s="56"/>
      <c r="S43" s="29">
        <f t="shared" si="11"/>
        <v>0</v>
      </c>
      <c r="T43" s="29">
        <f t="shared" si="15"/>
        <v>24</v>
      </c>
    </row>
    <row r="44" spans="1:20">
      <c r="A44" s="5"/>
      <c r="D44" s="5"/>
      <c r="E44" s="5"/>
      <c r="F44" s="5"/>
      <c r="G44" s="5"/>
      <c r="H44" s="5"/>
      <c r="I44" s="5"/>
      <c r="J44" s="5"/>
      <c r="L44" s="19" t="s">
        <v>101</v>
      </c>
      <c r="M44" s="19"/>
      <c r="N44" s="42" t="s">
        <v>168</v>
      </c>
      <c r="O44" s="41">
        <v>2</v>
      </c>
      <c r="P44" s="55">
        <f t="shared" si="13"/>
        <v>24</v>
      </c>
      <c r="Q44" s="55">
        <f t="shared" si="14"/>
        <v>30</v>
      </c>
      <c r="R44" s="56"/>
      <c r="S44" s="29">
        <f t="shared" si="11"/>
        <v>0</v>
      </c>
      <c r="T44" s="29">
        <f t="shared" si="15"/>
        <v>24</v>
      </c>
    </row>
    <row r="45" spans="1:20">
      <c r="A45" s="5"/>
      <c r="D45" s="5"/>
      <c r="E45" s="5"/>
      <c r="F45" s="5"/>
      <c r="G45" s="5"/>
      <c r="H45" s="5"/>
      <c r="I45" s="5"/>
      <c r="J45" s="5"/>
      <c r="L45" s="19" t="s">
        <v>102</v>
      </c>
      <c r="M45" s="19"/>
      <c r="N45" s="42" t="s">
        <v>169</v>
      </c>
      <c r="O45" s="39">
        <v>2</v>
      </c>
      <c r="P45" s="55">
        <f t="shared" si="13"/>
        <v>24</v>
      </c>
      <c r="Q45" s="55">
        <f t="shared" si="14"/>
        <v>30</v>
      </c>
      <c r="R45" s="56" t="s">
        <v>182</v>
      </c>
      <c r="S45" s="29">
        <f t="shared" si="11"/>
        <v>0</v>
      </c>
      <c r="T45" s="29">
        <f t="shared" si="15"/>
        <v>24</v>
      </c>
    </row>
    <row r="46" spans="1:20">
      <c r="A46" s="5"/>
      <c r="D46" s="5"/>
      <c r="E46" s="5"/>
      <c r="F46" s="5"/>
      <c r="G46" s="5"/>
      <c r="H46" s="5"/>
      <c r="I46" s="5"/>
      <c r="J46" s="5"/>
      <c r="L46" s="19" t="s">
        <v>103</v>
      </c>
      <c r="M46" s="19"/>
      <c r="N46" s="42" t="s">
        <v>170</v>
      </c>
      <c r="O46" s="39">
        <v>2</v>
      </c>
      <c r="P46" s="55">
        <f t="shared" si="13"/>
        <v>24</v>
      </c>
      <c r="Q46" s="55">
        <f t="shared" si="14"/>
        <v>30</v>
      </c>
      <c r="R46" s="56" t="s">
        <v>76</v>
      </c>
      <c r="S46" s="29">
        <f t="shared" si="11"/>
        <v>0</v>
      </c>
      <c r="T46" s="29">
        <f t="shared" si="15"/>
        <v>24</v>
      </c>
    </row>
    <row r="47" spans="1:20">
      <c r="A47" s="5"/>
      <c r="D47" s="5"/>
      <c r="E47" s="5"/>
      <c r="F47" s="5"/>
      <c r="G47" s="5"/>
      <c r="H47" s="5"/>
      <c r="I47" s="5"/>
      <c r="J47" s="5"/>
      <c r="L47" s="19" t="s">
        <v>104</v>
      </c>
      <c r="M47" s="19"/>
      <c r="N47" s="36" t="s">
        <v>171</v>
      </c>
      <c r="O47" s="39">
        <v>2</v>
      </c>
      <c r="P47" s="55">
        <f t="shared" si="13"/>
        <v>24</v>
      </c>
      <c r="Q47" s="55">
        <f t="shared" si="14"/>
        <v>30</v>
      </c>
      <c r="R47" s="56" t="s">
        <v>72</v>
      </c>
      <c r="S47" s="29">
        <f t="shared" si="11"/>
        <v>0</v>
      </c>
      <c r="T47" s="29">
        <f t="shared" si="15"/>
        <v>24</v>
      </c>
    </row>
    <row r="48" spans="1:20">
      <c r="A48" s="5"/>
      <c r="D48" s="5"/>
      <c r="E48" s="5"/>
      <c r="F48" s="5"/>
      <c r="G48" s="5"/>
      <c r="H48" s="5"/>
      <c r="I48" s="5"/>
      <c r="J48" s="5"/>
      <c r="L48" s="19" t="s">
        <v>105</v>
      </c>
      <c r="M48" s="19"/>
      <c r="N48" s="36" t="s">
        <v>172</v>
      </c>
      <c r="O48" s="39">
        <v>2</v>
      </c>
      <c r="P48" s="55">
        <f t="shared" si="13"/>
        <v>24</v>
      </c>
      <c r="Q48" s="55">
        <f t="shared" si="14"/>
        <v>30</v>
      </c>
      <c r="R48" s="56" t="s">
        <v>77</v>
      </c>
      <c r="S48" s="29">
        <f t="shared" si="11"/>
        <v>0</v>
      </c>
      <c r="T48" s="29">
        <f t="shared" si="15"/>
        <v>24</v>
      </c>
    </row>
    <row r="49" spans="1:20">
      <c r="A49" s="5"/>
      <c r="D49" s="5"/>
      <c r="E49" s="5"/>
      <c r="F49" s="5"/>
      <c r="G49" s="5"/>
      <c r="H49" s="5"/>
      <c r="I49" s="5"/>
      <c r="J49" s="5"/>
      <c r="L49" s="19" t="s">
        <v>128</v>
      </c>
      <c r="M49" s="19"/>
      <c r="N49" s="36" t="s">
        <v>173</v>
      </c>
      <c r="O49" s="39">
        <v>2</v>
      </c>
      <c r="P49" s="55">
        <f t="shared" si="13"/>
        <v>24</v>
      </c>
      <c r="Q49" s="55">
        <f t="shared" si="14"/>
        <v>30</v>
      </c>
      <c r="R49" s="56" t="s">
        <v>78</v>
      </c>
      <c r="S49" s="29">
        <f t="shared" si="11"/>
        <v>0</v>
      </c>
      <c r="T49" s="29">
        <f t="shared" si="15"/>
        <v>24</v>
      </c>
    </row>
    <row r="50" spans="1:20">
      <c r="A50" s="5"/>
      <c r="D50" s="5"/>
      <c r="E50" s="5"/>
      <c r="F50" s="5"/>
      <c r="G50" s="5"/>
      <c r="H50" s="5"/>
      <c r="I50" s="5"/>
      <c r="J50" s="5"/>
      <c r="L50" s="19"/>
      <c r="M50" s="19"/>
      <c r="N50" s="36" t="s">
        <v>174</v>
      </c>
      <c r="O50" s="39">
        <v>2</v>
      </c>
      <c r="P50" s="55">
        <f t="shared" si="13"/>
        <v>24</v>
      </c>
      <c r="Q50" s="55">
        <f t="shared" si="14"/>
        <v>30</v>
      </c>
      <c r="R50" s="56" t="s">
        <v>79</v>
      </c>
      <c r="S50" s="29">
        <f t="shared" si="11"/>
        <v>0</v>
      </c>
      <c r="T50" s="29">
        <f t="shared" si="15"/>
        <v>24</v>
      </c>
    </row>
    <row r="51" spans="1:20">
      <c r="A51" s="5"/>
      <c r="D51" s="5"/>
      <c r="E51" s="5"/>
      <c r="F51" s="5"/>
      <c r="G51" s="5"/>
      <c r="H51" s="5"/>
      <c r="I51" s="5"/>
      <c r="J51" s="5"/>
      <c r="L51" s="32"/>
      <c r="M51" s="32" t="s">
        <v>57</v>
      </c>
      <c r="N51" s="43" t="s">
        <v>45</v>
      </c>
      <c r="O51" s="44">
        <v>3</v>
      </c>
      <c r="P51" s="57">
        <f t="shared" si="13"/>
        <v>36</v>
      </c>
      <c r="Q51" s="57">
        <f t="shared" si="14"/>
        <v>45</v>
      </c>
      <c r="R51" s="38" t="s">
        <v>58</v>
      </c>
      <c r="S51" s="30">
        <f t="shared" si="11"/>
        <v>0</v>
      </c>
      <c r="T51" s="30">
        <f t="shared" si="15"/>
        <v>36</v>
      </c>
    </row>
    <row r="52" spans="1:20">
      <c r="A52" s="5"/>
      <c r="D52" s="5"/>
      <c r="E52" s="5"/>
      <c r="F52" s="5"/>
      <c r="G52" s="5"/>
      <c r="H52" s="5"/>
      <c r="I52" s="5"/>
      <c r="J52" s="5"/>
      <c r="L52" s="19"/>
      <c r="M52" s="19" t="s">
        <v>57</v>
      </c>
      <c r="N52" s="45" t="s">
        <v>56</v>
      </c>
      <c r="O52" s="46">
        <v>4</v>
      </c>
      <c r="P52" s="55">
        <f t="shared" si="13"/>
        <v>48</v>
      </c>
      <c r="Q52" s="55">
        <f t="shared" si="14"/>
        <v>60</v>
      </c>
      <c r="R52" s="38"/>
      <c r="S52" s="29">
        <f t="shared" si="11"/>
        <v>0</v>
      </c>
      <c r="T52" s="29">
        <f t="shared" si="15"/>
        <v>48</v>
      </c>
    </row>
    <row r="53" spans="1:20">
      <c r="A53" s="5"/>
      <c r="D53" s="5"/>
      <c r="E53" s="5"/>
      <c r="F53" s="5"/>
      <c r="G53" s="5"/>
      <c r="H53" s="5"/>
      <c r="I53" s="5"/>
      <c r="J53" s="5"/>
      <c r="L53" s="19" t="s">
        <v>126</v>
      </c>
      <c r="M53" s="19" t="s">
        <v>57</v>
      </c>
      <c r="N53" s="47" t="s">
        <v>39</v>
      </c>
      <c r="O53" s="46">
        <v>3</v>
      </c>
      <c r="P53" s="55">
        <f t="shared" si="13"/>
        <v>36</v>
      </c>
      <c r="Q53" s="55">
        <f t="shared" si="14"/>
        <v>45</v>
      </c>
      <c r="R53" s="38" t="s">
        <v>59</v>
      </c>
      <c r="S53" s="29">
        <f t="shared" si="11"/>
        <v>0</v>
      </c>
      <c r="T53" s="29">
        <f t="shared" si="15"/>
        <v>36</v>
      </c>
    </row>
    <row r="54" spans="1:20">
      <c r="A54" s="5"/>
      <c r="D54" s="5"/>
      <c r="E54" s="5"/>
      <c r="F54" s="5"/>
      <c r="G54" s="5"/>
      <c r="H54" s="5"/>
      <c r="I54" s="5"/>
      <c r="J54" s="5"/>
      <c r="L54" s="19" t="s">
        <v>116</v>
      </c>
      <c r="M54" s="19" t="s">
        <v>57</v>
      </c>
      <c r="N54" s="47" t="s">
        <v>40</v>
      </c>
      <c r="O54" s="46">
        <v>3</v>
      </c>
      <c r="P54" s="55">
        <f t="shared" si="13"/>
        <v>36</v>
      </c>
      <c r="Q54" s="55">
        <f t="shared" si="14"/>
        <v>45</v>
      </c>
      <c r="R54" s="38" t="s">
        <v>60</v>
      </c>
      <c r="S54" s="29">
        <f t="shared" si="11"/>
        <v>0</v>
      </c>
      <c r="T54" s="29">
        <f t="shared" si="15"/>
        <v>36</v>
      </c>
    </row>
    <row r="55" spans="1:20">
      <c r="A55" s="5"/>
      <c r="D55" s="5"/>
      <c r="E55" s="5"/>
      <c r="F55" s="5"/>
      <c r="G55" s="5"/>
      <c r="H55" s="5"/>
      <c r="I55" s="5"/>
      <c r="J55" s="5"/>
      <c r="L55" s="19" t="s">
        <v>106</v>
      </c>
      <c r="M55" s="19" t="s">
        <v>57</v>
      </c>
      <c r="N55" s="47" t="s">
        <v>46</v>
      </c>
      <c r="O55" s="46">
        <v>3</v>
      </c>
      <c r="P55" s="55">
        <f t="shared" si="13"/>
        <v>36</v>
      </c>
      <c r="Q55" s="55">
        <f t="shared" si="14"/>
        <v>45</v>
      </c>
      <c r="R55" s="38" t="s">
        <v>61</v>
      </c>
      <c r="S55" s="29">
        <f t="shared" si="11"/>
        <v>0</v>
      </c>
      <c r="T55" s="29">
        <f t="shared" si="15"/>
        <v>36</v>
      </c>
    </row>
    <row r="56" spans="1:20">
      <c r="A56" s="5"/>
      <c r="D56" s="5"/>
      <c r="E56" s="5"/>
      <c r="F56" s="5"/>
      <c r="G56" s="5"/>
      <c r="H56" s="5"/>
      <c r="I56" s="5"/>
      <c r="J56" s="5"/>
      <c r="L56" s="19" t="s">
        <v>107</v>
      </c>
      <c r="M56" s="19" t="s">
        <v>57</v>
      </c>
      <c r="N56" s="47" t="s">
        <v>47</v>
      </c>
      <c r="O56" s="46">
        <v>3</v>
      </c>
      <c r="P56" s="55">
        <f t="shared" si="13"/>
        <v>36</v>
      </c>
      <c r="Q56" s="55">
        <f t="shared" si="14"/>
        <v>45</v>
      </c>
      <c r="R56" s="38" t="s">
        <v>61</v>
      </c>
      <c r="S56" s="29">
        <f t="shared" si="11"/>
        <v>0</v>
      </c>
      <c r="T56" s="29">
        <f t="shared" si="15"/>
        <v>36</v>
      </c>
    </row>
    <row r="57" spans="1:20">
      <c r="A57" s="5"/>
      <c r="D57" s="5"/>
      <c r="E57" s="5"/>
      <c r="F57" s="5"/>
      <c r="G57" s="5"/>
      <c r="H57" s="5"/>
      <c r="I57" s="5"/>
      <c r="J57" s="5"/>
      <c r="L57" s="19" t="s">
        <v>108</v>
      </c>
      <c r="M57" s="19" t="s">
        <v>57</v>
      </c>
      <c r="N57" s="45" t="s">
        <v>48</v>
      </c>
      <c r="O57" s="46">
        <v>3</v>
      </c>
      <c r="P57" s="55">
        <f t="shared" si="13"/>
        <v>36</v>
      </c>
      <c r="Q57" s="55">
        <f t="shared" si="14"/>
        <v>45</v>
      </c>
      <c r="R57" s="38" t="s">
        <v>62</v>
      </c>
      <c r="S57" s="29">
        <f t="shared" si="11"/>
        <v>0</v>
      </c>
      <c r="T57" s="29">
        <f t="shared" si="15"/>
        <v>36</v>
      </c>
    </row>
    <row r="58" spans="1:20">
      <c r="A58" s="5"/>
      <c r="D58" s="5"/>
      <c r="E58" s="5"/>
      <c r="F58" s="5"/>
      <c r="G58" s="5"/>
      <c r="H58" s="5"/>
      <c r="I58" s="5"/>
      <c r="J58" s="5"/>
      <c r="L58" s="19" t="s">
        <v>118</v>
      </c>
      <c r="M58" s="19" t="s">
        <v>57</v>
      </c>
      <c r="N58" s="45" t="s">
        <v>38</v>
      </c>
      <c r="O58" s="46">
        <v>3</v>
      </c>
      <c r="P58" s="55">
        <f t="shared" si="13"/>
        <v>36</v>
      </c>
      <c r="Q58" s="55">
        <f t="shared" si="14"/>
        <v>45</v>
      </c>
      <c r="R58" s="38" t="s">
        <v>63</v>
      </c>
      <c r="S58" s="29">
        <f t="shared" si="11"/>
        <v>0</v>
      </c>
      <c r="T58" s="29">
        <f t="shared" si="15"/>
        <v>36</v>
      </c>
    </row>
    <row r="59" spans="1:20">
      <c r="A59" s="5"/>
      <c r="D59" s="5"/>
      <c r="E59" s="5"/>
      <c r="F59" s="5"/>
      <c r="G59" s="5"/>
      <c r="H59" s="5"/>
      <c r="I59" s="5"/>
      <c r="J59" s="5"/>
      <c r="L59" s="19" t="s">
        <v>115</v>
      </c>
      <c r="M59" s="19" t="s">
        <v>57</v>
      </c>
      <c r="N59" s="45" t="s">
        <v>37</v>
      </c>
      <c r="O59" s="46">
        <v>3</v>
      </c>
      <c r="P59" s="55">
        <f t="shared" si="13"/>
        <v>36</v>
      </c>
      <c r="Q59" s="55">
        <f t="shared" si="14"/>
        <v>45</v>
      </c>
      <c r="R59" s="38" t="s">
        <v>131</v>
      </c>
      <c r="S59" s="29">
        <f t="shared" si="11"/>
        <v>0</v>
      </c>
      <c r="T59" s="29">
        <f t="shared" si="15"/>
        <v>36</v>
      </c>
    </row>
    <row r="60" spans="1:20">
      <c r="A60" s="5"/>
      <c r="D60" s="5"/>
      <c r="E60" s="5"/>
      <c r="F60" s="5"/>
      <c r="G60" s="5"/>
      <c r="H60" s="5"/>
      <c r="I60" s="5"/>
      <c r="J60" s="5"/>
      <c r="L60" s="19" t="s">
        <v>109</v>
      </c>
      <c r="M60" s="19" t="s">
        <v>57</v>
      </c>
      <c r="N60" s="45" t="s">
        <v>49</v>
      </c>
      <c r="O60" s="46">
        <v>3</v>
      </c>
      <c r="P60" s="55">
        <f t="shared" si="13"/>
        <v>36</v>
      </c>
      <c r="Q60" s="55">
        <f t="shared" si="14"/>
        <v>45</v>
      </c>
      <c r="R60" s="38" t="s">
        <v>61</v>
      </c>
      <c r="S60" s="29">
        <f t="shared" si="11"/>
        <v>0</v>
      </c>
      <c r="T60" s="29">
        <f t="shared" si="15"/>
        <v>36</v>
      </c>
    </row>
    <row r="61" spans="1:20">
      <c r="A61" s="5"/>
      <c r="D61" s="5"/>
      <c r="E61" s="5"/>
      <c r="F61" s="5"/>
      <c r="G61" s="5"/>
      <c r="H61" s="5"/>
      <c r="I61" s="5"/>
      <c r="J61" s="5"/>
      <c r="L61" s="19" t="s">
        <v>110</v>
      </c>
      <c r="M61" s="19" t="s">
        <v>57</v>
      </c>
      <c r="N61" s="47" t="s">
        <v>50</v>
      </c>
      <c r="O61" s="46">
        <v>3</v>
      </c>
      <c r="P61" s="55">
        <f t="shared" ref="P61:P65" si="16">Q61/1.25</f>
        <v>36</v>
      </c>
      <c r="Q61" s="55">
        <f t="shared" ref="Q61:Q65" si="17">O61*15</f>
        <v>45</v>
      </c>
      <c r="R61" s="38" t="s">
        <v>60</v>
      </c>
      <c r="S61" s="29">
        <f t="shared" si="11"/>
        <v>0</v>
      </c>
      <c r="T61" s="29">
        <f t="shared" ref="T61:T65" si="18">P61-S61</f>
        <v>36</v>
      </c>
    </row>
    <row r="62" spans="1:20">
      <c r="A62" s="5"/>
      <c r="D62" s="5"/>
      <c r="E62" s="5"/>
      <c r="F62" s="5"/>
      <c r="G62" s="5"/>
      <c r="H62" s="5"/>
      <c r="I62" s="5"/>
      <c r="J62" s="5"/>
      <c r="L62" s="19" t="s">
        <v>111</v>
      </c>
      <c r="M62" s="19" t="s">
        <v>57</v>
      </c>
      <c r="N62" s="47" t="s">
        <v>51</v>
      </c>
      <c r="O62" s="46">
        <v>3</v>
      </c>
      <c r="P62" s="55">
        <f t="shared" si="16"/>
        <v>36</v>
      </c>
      <c r="Q62" s="55">
        <f t="shared" si="17"/>
        <v>45</v>
      </c>
      <c r="R62" s="58" t="s">
        <v>64</v>
      </c>
      <c r="S62" s="29">
        <f t="shared" si="11"/>
        <v>0</v>
      </c>
      <c r="T62" s="29">
        <f t="shared" si="18"/>
        <v>36</v>
      </c>
    </row>
    <row r="63" spans="1:20">
      <c r="A63" s="5"/>
      <c r="D63" s="5"/>
      <c r="E63" s="5"/>
      <c r="F63" s="5"/>
      <c r="G63" s="5"/>
      <c r="H63" s="5"/>
      <c r="I63" s="5"/>
      <c r="J63" s="5"/>
      <c r="L63" s="19" t="s">
        <v>112</v>
      </c>
      <c r="M63" s="19" t="s">
        <v>57</v>
      </c>
      <c r="N63" s="47" t="s">
        <v>52</v>
      </c>
      <c r="O63" s="48">
        <v>3</v>
      </c>
      <c r="P63" s="55">
        <f t="shared" si="16"/>
        <v>36</v>
      </c>
      <c r="Q63" s="55">
        <f t="shared" si="17"/>
        <v>45</v>
      </c>
      <c r="R63" s="59" t="s">
        <v>64</v>
      </c>
      <c r="S63" s="29">
        <f t="shared" si="11"/>
        <v>0</v>
      </c>
      <c r="T63" s="29">
        <f t="shared" si="18"/>
        <v>36</v>
      </c>
    </row>
    <row r="64" spans="1:20">
      <c r="A64" s="5"/>
      <c r="D64" s="5"/>
      <c r="E64" s="5"/>
      <c r="F64" s="5"/>
      <c r="G64" s="5"/>
      <c r="H64" s="5"/>
      <c r="I64" s="5"/>
      <c r="J64" s="5"/>
      <c r="L64" s="19" t="s">
        <v>113</v>
      </c>
      <c r="M64" s="19" t="s">
        <v>57</v>
      </c>
      <c r="N64" s="45" t="s">
        <v>53</v>
      </c>
      <c r="O64" s="46">
        <v>3</v>
      </c>
      <c r="P64" s="55">
        <f t="shared" si="16"/>
        <v>36</v>
      </c>
      <c r="Q64" s="55">
        <f t="shared" si="17"/>
        <v>45</v>
      </c>
      <c r="R64" s="38" t="s">
        <v>132</v>
      </c>
      <c r="S64" s="29">
        <f t="shared" si="11"/>
        <v>0</v>
      </c>
      <c r="T64" s="29">
        <f t="shared" si="18"/>
        <v>36</v>
      </c>
    </row>
    <row r="65" spans="1:20">
      <c r="A65" s="5"/>
      <c r="D65" s="5"/>
      <c r="E65" s="5"/>
      <c r="F65" s="5"/>
      <c r="G65" s="5"/>
      <c r="H65" s="5"/>
      <c r="I65" s="5"/>
      <c r="J65" s="5"/>
      <c r="L65" s="19" t="s">
        <v>103</v>
      </c>
      <c r="M65" s="19" t="s">
        <v>57</v>
      </c>
      <c r="N65" s="45" t="s">
        <v>54</v>
      </c>
      <c r="O65" s="46">
        <v>3</v>
      </c>
      <c r="P65" s="55">
        <f t="shared" si="16"/>
        <v>36</v>
      </c>
      <c r="Q65" s="55">
        <f t="shared" si="17"/>
        <v>45</v>
      </c>
      <c r="R65" s="38" t="s">
        <v>133</v>
      </c>
      <c r="S65" s="29">
        <f t="shared" si="11"/>
        <v>0</v>
      </c>
      <c r="T65" s="29">
        <f t="shared" si="18"/>
        <v>36</v>
      </c>
    </row>
    <row r="66" spans="1:20">
      <c r="A66" s="5"/>
      <c r="D66" s="5"/>
      <c r="E66" s="5"/>
      <c r="F66" s="5"/>
      <c r="G66" s="5"/>
      <c r="H66" s="5"/>
      <c r="I66" s="5"/>
      <c r="J66" s="5"/>
      <c r="L66" s="49"/>
      <c r="M66" s="49"/>
      <c r="O66" s="51"/>
      <c r="P66" s="52"/>
      <c r="Q66" s="52"/>
      <c r="R66" s="50"/>
      <c r="S66" s="52"/>
      <c r="T66" s="52"/>
    </row>
    <row r="67" spans="1:20">
      <c r="A67" s="5"/>
      <c r="D67" s="5"/>
      <c r="E67" s="5"/>
      <c r="F67" s="5"/>
      <c r="G67" s="5"/>
      <c r="H67" s="5"/>
      <c r="I67" s="5"/>
      <c r="J67" s="5"/>
      <c r="L67" s="19"/>
      <c r="M67" s="60"/>
      <c r="N67" s="60" t="s">
        <v>31</v>
      </c>
      <c r="O67" s="60">
        <f>SUM(O3:O65)</f>
        <v>141</v>
      </c>
      <c r="P67" s="60">
        <f>SUM(P3:P65)</f>
        <v>1692</v>
      </c>
      <c r="Q67" s="60">
        <f>SUM(Q3:Q65)</f>
        <v>2115</v>
      </c>
      <c r="R67" s="60"/>
      <c r="S67" s="60">
        <f>SUM(S3:S65)</f>
        <v>24</v>
      </c>
      <c r="T67" s="60">
        <f>SUM(T3:T65)</f>
        <v>1668</v>
      </c>
    </row>
    <row r="68" spans="1:20">
      <c r="A68" s="5"/>
      <c r="D68" s="5"/>
      <c r="E68" s="5"/>
      <c r="F68" s="5"/>
      <c r="G68" s="5"/>
      <c r="H68" s="5"/>
      <c r="I68" s="5"/>
      <c r="J68" s="5"/>
      <c r="L68" s="2"/>
      <c r="M68" s="2"/>
      <c r="N68" s="2"/>
      <c r="O68" s="2"/>
      <c r="R68" s="2"/>
    </row>
    <row r="69" spans="1:20">
      <c r="L69" s="2"/>
      <c r="M69" s="2"/>
      <c r="N69" s="2"/>
      <c r="O69" s="2"/>
      <c r="R69" s="2"/>
    </row>
    <row r="70" spans="1:20">
      <c r="L70" s="49"/>
      <c r="M70" s="49"/>
      <c r="O70" s="51"/>
      <c r="P70" s="52"/>
      <c r="Q70" s="52"/>
      <c r="R70" s="50"/>
      <c r="S70" s="52"/>
      <c r="T70" s="52"/>
    </row>
    <row r="71" spans="1:20">
      <c r="L71" s="49"/>
      <c r="M71" s="49"/>
      <c r="O71" s="51"/>
      <c r="P71" s="52"/>
      <c r="Q71" s="52"/>
      <c r="R71" s="50"/>
      <c r="S71" s="52"/>
      <c r="T71" s="52"/>
    </row>
    <row r="72" spans="1:20">
      <c r="L72" s="49"/>
      <c r="M72" s="49"/>
      <c r="O72" s="51"/>
      <c r="P72" s="52"/>
      <c r="Q72" s="52"/>
      <c r="R72" s="50"/>
      <c r="S72" s="52"/>
      <c r="T72" s="52"/>
    </row>
    <row r="73" spans="1:20">
      <c r="L73" s="49"/>
      <c r="M73" s="49"/>
      <c r="O73" s="51"/>
      <c r="P73" s="52"/>
      <c r="Q73" s="52"/>
      <c r="R73" s="50"/>
      <c r="S73" s="52"/>
      <c r="T73" s="52"/>
    </row>
    <row r="74" spans="1:20">
      <c r="L74" s="49"/>
      <c r="M74" s="49"/>
      <c r="O74" s="51"/>
      <c r="P74" s="52"/>
      <c r="Q74" s="52"/>
      <c r="R74" s="50"/>
      <c r="S74" s="52"/>
      <c r="T74" s="52"/>
    </row>
    <row r="75" spans="1:20">
      <c r="L75" s="49"/>
      <c r="M75" s="49"/>
      <c r="O75" s="51"/>
      <c r="P75" s="52"/>
      <c r="Q75" s="52"/>
      <c r="R75" s="50"/>
      <c r="S75" s="52"/>
      <c r="T75" s="52"/>
    </row>
    <row r="76" spans="1:20">
      <c r="L76" s="49"/>
      <c r="M76" s="49"/>
      <c r="O76" s="51"/>
      <c r="P76" s="52"/>
      <c r="Q76" s="52"/>
      <c r="R76" s="50"/>
      <c r="S76" s="52"/>
      <c r="T76" s="52"/>
    </row>
    <row r="77" spans="1:20">
      <c r="L77" s="49"/>
      <c r="M77" s="49"/>
      <c r="O77" s="51"/>
      <c r="P77" s="52"/>
      <c r="Q77" s="52"/>
      <c r="R77" s="50"/>
      <c r="S77" s="52"/>
      <c r="T77" s="52"/>
    </row>
    <row r="78" spans="1:20">
      <c r="L78" s="49"/>
      <c r="M78" s="49"/>
      <c r="O78" s="51"/>
      <c r="P78" s="52"/>
      <c r="Q78" s="52"/>
      <c r="R78" s="50"/>
      <c r="S78" s="52"/>
      <c r="T78" s="52"/>
    </row>
    <row r="79" spans="1:20">
      <c r="L79" s="49"/>
      <c r="M79" s="49"/>
      <c r="O79" s="51"/>
      <c r="P79" s="52"/>
      <c r="Q79" s="52"/>
      <c r="R79" s="50"/>
      <c r="S79" s="52"/>
      <c r="T79" s="52"/>
    </row>
    <row r="80" spans="1:20">
      <c r="L80" s="49"/>
      <c r="M80" s="49"/>
      <c r="O80" s="51"/>
      <c r="P80" s="52"/>
      <c r="Q80" s="52"/>
      <c r="R80" s="50"/>
      <c r="S80" s="52"/>
      <c r="T80" s="52"/>
    </row>
    <row r="81" spans="12:20">
      <c r="L81" s="49"/>
      <c r="M81" s="49"/>
      <c r="O81" s="51"/>
      <c r="P81" s="52"/>
      <c r="Q81" s="52"/>
      <c r="R81" s="50"/>
      <c r="S81" s="52"/>
      <c r="T81" s="52"/>
    </row>
    <row r="82" spans="12:20">
      <c r="L82" s="49"/>
      <c r="M82" s="49"/>
      <c r="O82" s="51"/>
      <c r="P82" s="52"/>
      <c r="Q82" s="52"/>
      <c r="R82" s="50"/>
      <c r="S82" s="52"/>
      <c r="T82" s="52"/>
    </row>
    <row r="83" spans="12:20">
      <c r="L83" s="49"/>
      <c r="M83" s="49"/>
      <c r="O83" s="51"/>
      <c r="P83" s="52"/>
      <c r="Q83" s="52"/>
      <c r="R83" s="50"/>
      <c r="S83" s="52"/>
      <c r="T83" s="52"/>
    </row>
    <row r="84" spans="12:20">
      <c r="L84" s="49"/>
      <c r="M84" s="49"/>
      <c r="O84" s="51"/>
      <c r="P84" s="52"/>
      <c r="Q84" s="52"/>
      <c r="R84" s="50"/>
      <c r="S84" s="52"/>
      <c r="T84" s="52"/>
    </row>
    <row r="85" spans="12:20">
      <c r="L85" s="49"/>
      <c r="M85" s="49"/>
      <c r="O85" s="51"/>
      <c r="P85" s="52"/>
      <c r="Q85" s="52"/>
      <c r="R85" s="50"/>
      <c r="S85" s="52"/>
      <c r="T85" s="52"/>
    </row>
    <row r="86" spans="12:20">
      <c r="L86" s="49"/>
      <c r="M86" s="49"/>
      <c r="O86" s="51"/>
      <c r="P86" s="52"/>
      <c r="Q86" s="52"/>
      <c r="R86" s="50"/>
      <c r="S86" s="52"/>
      <c r="T86" s="52"/>
    </row>
    <row r="87" spans="12:20">
      <c r="L87" s="49"/>
      <c r="M87" s="49"/>
      <c r="O87" s="51"/>
      <c r="P87" s="52"/>
      <c r="Q87" s="52"/>
      <c r="R87" s="50"/>
      <c r="S87" s="52"/>
      <c r="T87" s="52"/>
    </row>
    <row r="88" spans="12:20">
      <c r="L88" s="49"/>
      <c r="M88" s="49"/>
      <c r="O88" s="51"/>
      <c r="P88" s="52"/>
      <c r="Q88" s="52"/>
      <c r="R88" s="50"/>
      <c r="S88" s="52"/>
      <c r="T88" s="52"/>
    </row>
    <row r="89" spans="12:20">
      <c r="L89" s="49"/>
      <c r="M89" s="49"/>
      <c r="O89" s="51"/>
      <c r="P89" s="52"/>
      <c r="Q89" s="52"/>
      <c r="R89" s="50"/>
      <c r="S89" s="52"/>
      <c r="T89" s="52"/>
    </row>
    <row r="90" spans="12:20">
      <c r="L90" s="49"/>
      <c r="M90" s="49"/>
      <c r="O90" s="51"/>
      <c r="P90" s="52"/>
      <c r="Q90" s="52"/>
      <c r="R90" s="50"/>
      <c r="S90" s="52"/>
      <c r="T90" s="52"/>
    </row>
    <row r="91" spans="12:20">
      <c r="L91" s="49"/>
      <c r="M91" s="49"/>
      <c r="O91" s="51"/>
      <c r="P91" s="52"/>
      <c r="Q91" s="52"/>
      <c r="R91" s="50"/>
      <c r="S91" s="52"/>
      <c r="T91" s="52"/>
    </row>
    <row r="92" spans="12:20">
      <c r="L92" s="49"/>
      <c r="M92" s="49"/>
      <c r="O92" s="51"/>
      <c r="P92" s="52"/>
      <c r="Q92" s="52"/>
      <c r="R92" s="50"/>
      <c r="S92" s="52"/>
      <c r="T92" s="52"/>
    </row>
    <row r="93" spans="12:20">
      <c r="L93" s="49"/>
      <c r="M93" s="49"/>
      <c r="O93" s="51"/>
      <c r="P93" s="52"/>
      <c r="Q93" s="52"/>
      <c r="R93" s="50"/>
      <c r="S93" s="52"/>
      <c r="T93" s="52"/>
    </row>
    <row r="94" spans="12:20">
      <c r="L94" s="49"/>
      <c r="M94" s="49"/>
      <c r="O94" s="51"/>
      <c r="P94" s="52"/>
      <c r="Q94" s="52"/>
      <c r="R94" s="50"/>
      <c r="S94" s="52"/>
      <c r="T94" s="52"/>
    </row>
    <row r="95" spans="12:20">
      <c r="L95" s="49"/>
      <c r="M95" s="49"/>
      <c r="O95" s="51"/>
      <c r="P95" s="52"/>
      <c r="Q95" s="52"/>
      <c r="R95" s="50"/>
      <c r="S95" s="52"/>
      <c r="T95" s="52"/>
    </row>
    <row r="96" spans="12:20">
      <c r="L96" s="49"/>
      <c r="M96" s="49"/>
      <c r="O96" s="51"/>
      <c r="P96" s="52"/>
      <c r="Q96" s="52"/>
      <c r="R96" s="50"/>
      <c r="S96" s="52"/>
      <c r="T96" s="52"/>
    </row>
    <row r="97" spans="12:20">
      <c r="L97" s="49"/>
      <c r="M97" s="49"/>
      <c r="O97" s="51"/>
      <c r="P97" s="52"/>
      <c r="Q97" s="52"/>
      <c r="R97" s="50"/>
      <c r="S97" s="52"/>
      <c r="T97" s="52"/>
    </row>
    <row r="98" spans="12:20">
      <c r="L98" s="49"/>
      <c r="M98" s="49"/>
      <c r="O98" s="51"/>
      <c r="P98" s="52"/>
      <c r="Q98" s="52"/>
      <c r="R98" s="50"/>
      <c r="S98" s="52"/>
      <c r="T98" s="52"/>
    </row>
    <row r="99" spans="12:20">
      <c r="L99" s="49"/>
      <c r="M99" s="49"/>
      <c r="O99" s="51"/>
      <c r="P99" s="52"/>
      <c r="Q99" s="52"/>
      <c r="R99" s="50"/>
      <c r="S99" s="52"/>
      <c r="T99" s="52"/>
    </row>
    <row r="100" spans="12:20">
      <c r="L100" s="49"/>
      <c r="M100" s="49"/>
      <c r="O100" s="51"/>
      <c r="P100" s="52"/>
      <c r="Q100" s="52"/>
      <c r="R100" s="50"/>
      <c r="S100" s="52"/>
      <c r="T100" s="52"/>
    </row>
    <row r="101" spans="12:20">
      <c r="L101" s="49"/>
      <c r="M101" s="49"/>
      <c r="O101" s="51"/>
      <c r="P101" s="52"/>
      <c r="Q101" s="52"/>
      <c r="R101" s="50"/>
      <c r="S101" s="52"/>
      <c r="T101" s="52"/>
    </row>
    <row r="102" spans="12:20">
      <c r="L102" s="49"/>
      <c r="M102" s="49"/>
      <c r="O102" s="51"/>
      <c r="P102" s="52"/>
      <c r="Q102" s="52"/>
      <c r="R102" s="50"/>
      <c r="S102" s="52"/>
      <c r="T102" s="52"/>
    </row>
    <row r="103" spans="12:20">
      <c r="L103" s="49"/>
      <c r="M103" s="49"/>
      <c r="O103" s="51"/>
      <c r="P103" s="52"/>
      <c r="Q103" s="52"/>
      <c r="R103" s="50"/>
      <c r="S103" s="52"/>
      <c r="T103" s="52"/>
    </row>
    <row r="104" spans="12:20">
      <c r="L104" s="49"/>
      <c r="M104" s="49"/>
      <c r="O104" s="51"/>
      <c r="P104" s="52"/>
      <c r="Q104" s="52"/>
      <c r="R104" s="50"/>
      <c r="S104" s="52"/>
      <c r="T104" s="52"/>
    </row>
    <row r="105" spans="12:20">
      <c r="L105" s="49"/>
      <c r="M105" s="49"/>
      <c r="O105" s="51"/>
      <c r="P105" s="52"/>
      <c r="Q105" s="52"/>
      <c r="R105" s="50"/>
      <c r="S105" s="52"/>
      <c r="T105" s="52"/>
    </row>
    <row r="106" spans="12:20">
      <c r="L106" s="49"/>
      <c r="M106" s="49"/>
      <c r="O106" s="51"/>
      <c r="P106" s="52"/>
      <c r="Q106" s="52"/>
      <c r="R106" s="50"/>
      <c r="S106" s="52"/>
      <c r="T106" s="52"/>
    </row>
    <row r="107" spans="12:20">
      <c r="L107" s="49"/>
      <c r="M107" s="49"/>
      <c r="O107" s="51"/>
      <c r="P107" s="52"/>
      <c r="Q107" s="52"/>
      <c r="R107" s="50"/>
      <c r="S107" s="52"/>
      <c r="T107" s="52"/>
    </row>
    <row r="108" spans="12:20">
      <c r="L108" s="49"/>
      <c r="M108" s="49"/>
      <c r="O108" s="51"/>
      <c r="P108" s="52"/>
      <c r="Q108" s="52"/>
      <c r="R108" s="50"/>
      <c r="S108" s="52"/>
      <c r="T108" s="52"/>
    </row>
    <row r="109" spans="12:20">
      <c r="L109" s="49"/>
      <c r="M109" s="49"/>
      <c r="O109" s="51"/>
      <c r="P109" s="52"/>
      <c r="Q109" s="52"/>
      <c r="R109" s="50"/>
      <c r="S109" s="52"/>
      <c r="T109" s="52"/>
    </row>
    <row r="110" spans="12:20">
      <c r="L110" s="49"/>
      <c r="M110" s="49"/>
      <c r="O110" s="51"/>
      <c r="P110" s="52"/>
      <c r="Q110" s="52"/>
      <c r="R110" s="50"/>
      <c r="S110" s="52"/>
      <c r="T110" s="52"/>
    </row>
    <row r="111" spans="12:20">
      <c r="L111" s="49"/>
      <c r="M111" s="49"/>
      <c r="O111" s="51"/>
      <c r="P111" s="52"/>
      <c r="Q111" s="52"/>
      <c r="R111" s="50"/>
      <c r="S111" s="52"/>
      <c r="T111" s="52"/>
    </row>
    <row r="112" spans="12:20">
      <c r="L112" s="49"/>
      <c r="M112" s="49"/>
      <c r="O112" s="51"/>
      <c r="P112" s="52"/>
      <c r="Q112" s="52"/>
      <c r="R112" s="50"/>
      <c r="S112" s="52"/>
      <c r="T112" s="52"/>
    </row>
    <row r="113" spans="1:20">
      <c r="L113" s="49"/>
      <c r="M113" s="49"/>
      <c r="O113" s="51"/>
      <c r="P113" s="52"/>
      <c r="Q113" s="52"/>
      <c r="R113" s="50"/>
      <c r="S113" s="52"/>
      <c r="T113" s="52"/>
    </row>
    <row r="114" spans="1:20">
      <c r="L114" s="49"/>
      <c r="M114" s="49"/>
      <c r="O114" s="51"/>
      <c r="P114" s="52"/>
      <c r="Q114" s="52"/>
      <c r="R114" s="50"/>
      <c r="S114" s="52"/>
      <c r="T114" s="52"/>
    </row>
    <row r="115" spans="1:20">
      <c r="L115" s="49"/>
      <c r="M115" s="49"/>
      <c r="O115" s="51"/>
      <c r="P115" s="52"/>
      <c r="Q115" s="52"/>
      <c r="R115" s="50"/>
      <c r="S115" s="52"/>
      <c r="T115" s="52"/>
    </row>
    <row r="116" spans="1:20">
      <c r="L116" s="49"/>
      <c r="M116" s="49"/>
      <c r="O116" s="51"/>
      <c r="P116" s="52"/>
      <c r="Q116" s="52"/>
      <c r="R116" s="50"/>
      <c r="S116" s="52"/>
      <c r="T116" s="52"/>
    </row>
    <row r="117" spans="1:20">
      <c r="A117" s="5"/>
      <c r="D117" s="5"/>
      <c r="E117" s="5"/>
      <c r="F117" s="5"/>
      <c r="G117" s="5"/>
      <c r="H117" s="5"/>
      <c r="I117" s="5"/>
      <c r="J117" s="5"/>
      <c r="L117" s="49"/>
      <c r="M117" s="49"/>
      <c r="O117" s="51"/>
      <c r="P117" s="52"/>
      <c r="Q117" s="52"/>
      <c r="R117" s="50"/>
      <c r="S117" s="52"/>
      <c r="T117" s="52"/>
    </row>
    <row r="118" spans="1:20">
      <c r="A118" s="5"/>
      <c r="D118" s="5"/>
      <c r="E118" s="5"/>
      <c r="F118" s="5"/>
      <c r="G118" s="5"/>
      <c r="H118" s="5"/>
      <c r="I118" s="5"/>
      <c r="J118" s="5"/>
      <c r="L118" s="49"/>
      <c r="M118" s="49"/>
      <c r="O118" s="51"/>
      <c r="P118" s="52"/>
      <c r="Q118" s="52"/>
      <c r="R118" s="50"/>
      <c r="S118" s="52"/>
      <c r="T118" s="52"/>
    </row>
    <row r="119" spans="1:20">
      <c r="A119" s="5"/>
      <c r="D119" s="5"/>
      <c r="E119" s="5"/>
      <c r="F119" s="5"/>
      <c r="G119" s="5"/>
      <c r="H119" s="5"/>
      <c r="I119" s="5"/>
      <c r="J119" s="5"/>
      <c r="L119" s="49"/>
      <c r="M119" s="49"/>
      <c r="O119" s="51"/>
      <c r="P119" s="52"/>
      <c r="Q119" s="52"/>
      <c r="R119" s="50"/>
      <c r="S119" s="52"/>
      <c r="T119" s="52"/>
    </row>
    <row r="120" spans="1:20">
      <c r="A120" s="5"/>
      <c r="D120" s="5"/>
      <c r="E120" s="5"/>
      <c r="F120" s="5"/>
      <c r="G120" s="5"/>
      <c r="H120" s="5"/>
      <c r="I120" s="5"/>
      <c r="J120" s="5"/>
      <c r="L120" s="49"/>
      <c r="M120" s="49"/>
      <c r="O120" s="51"/>
      <c r="P120" s="52"/>
      <c r="Q120" s="52"/>
      <c r="R120" s="50"/>
      <c r="S120" s="52"/>
      <c r="T120" s="52"/>
    </row>
    <row r="121" spans="1:20">
      <c r="A121" s="5"/>
      <c r="D121" s="5"/>
      <c r="E121" s="5"/>
      <c r="F121" s="5"/>
      <c r="G121" s="5"/>
      <c r="H121" s="5"/>
      <c r="I121" s="5"/>
      <c r="J121" s="5"/>
      <c r="L121" s="49"/>
      <c r="M121" s="49"/>
      <c r="O121" s="51"/>
      <c r="P121" s="52"/>
      <c r="Q121" s="52"/>
      <c r="R121" s="50"/>
      <c r="S121" s="52"/>
      <c r="T121" s="52"/>
    </row>
    <row r="122" spans="1:20">
      <c r="A122" s="5"/>
      <c r="D122" s="5"/>
      <c r="E122" s="5"/>
      <c r="F122" s="5"/>
      <c r="G122" s="5"/>
      <c r="H122" s="5"/>
      <c r="I122" s="5"/>
      <c r="J122" s="5"/>
      <c r="L122" s="49"/>
      <c r="M122" s="49"/>
      <c r="O122" s="51"/>
      <c r="P122" s="52"/>
      <c r="Q122" s="52"/>
      <c r="R122" s="50"/>
      <c r="S122" s="52"/>
      <c r="T122" s="52"/>
    </row>
    <row r="123" spans="1:20">
      <c r="A123" s="5"/>
      <c r="D123" s="5"/>
      <c r="E123" s="5"/>
      <c r="F123" s="5"/>
      <c r="G123" s="5"/>
      <c r="H123" s="5"/>
      <c r="I123" s="5"/>
      <c r="J123" s="5"/>
    </row>
    <row r="124" spans="1:20">
      <c r="A124" s="5"/>
      <c r="D124" s="5"/>
      <c r="E124" s="5"/>
      <c r="F124" s="5"/>
      <c r="G124" s="5"/>
      <c r="H124" s="5"/>
      <c r="I124" s="5"/>
      <c r="J124" s="5"/>
    </row>
    <row r="125" spans="1:20">
      <c r="A125" s="5"/>
      <c r="D125" s="5"/>
      <c r="E125" s="5"/>
      <c r="F125" s="5"/>
      <c r="G125" s="5"/>
      <c r="H125" s="5"/>
      <c r="I125" s="5"/>
      <c r="J125" s="5"/>
    </row>
    <row r="126" spans="1:20">
      <c r="A126" s="5"/>
      <c r="D126" s="5"/>
      <c r="E126" s="5"/>
      <c r="F126" s="5"/>
      <c r="G126" s="5"/>
      <c r="H126" s="5"/>
      <c r="I126" s="5"/>
      <c r="J126" s="5"/>
    </row>
    <row r="127" spans="1:20">
      <c r="A127" s="5"/>
      <c r="D127" s="5"/>
      <c r="E127" s="5"/>
      <c r="F127" s="5"/>
      <c r="G127" s="5"/>
      <c r="H127" s="5"/>
      <c r="I127" s="5"/>
      <c r="J127" s="5"/>
    </row>
    <row r="128" spans="1:20">
      <c r="A128" s="5"/>
      <c r="D128" s="5"/>
      <c r="E128" s="5"/>
      <c r="F128" s="5"/>
      <c r="G128" s="5"/>
      <c r="H128" s="5"/>
      <c r="I128" s="5"/>
      <c r="J128" s="5"/>
    </row>
    <row r="129" spans="1:10">
      <c r="A129" s="5"/>
      <c r="D129" s="5"/>
      <c r="E129" s="5"/>
      <c r="F129" s="5"/>
      <c r="G129" s="5"/>
      <c r="H129" s="5"/>
      <c r="I129" s="5"/>
      <c r="J129" s="5"/>
    </row>
    <row r="130" spans="1:10">
      <c r="A130" s="5"/>
      <c r="D130" s="5"/>
      <c r="E130" s="5"/>
      <c r="F130" s="5"/>
      <c r="G130" s="5"/>
      <c r="H130" s="5"/>
      <c r="I130" s="5"/>
      <c r="J130" s="5"/>
    </row>
    <row r="131" spans="1:10">
      <c r="A131" s="5"/>
      <c r="D131" s="5"/>
      <c r="E131" s="5"/>
      <c r="F131" s="5"/>
      <c r="G131" s="5"/>
      <c r="H131" s="5"/>
      <c r="I131" s="5"/>
      <c r="J131" s="5"/>
    </row>
    <row r="132" spans="1:10">
      <c r="A132" s="5"/>
      <c r="D132" s="5"/>
      <c r="E132" s="5"/>
      <c r="F132" s="5"/>
      <c r="G132" s="5"/>
      <c r="H132" s="5"/>
      <c r="I132" s="5"/>
      <c r="J132" s="5"/>
    </row>
    <row r="133" spans="1:10">
      <c r="A133" s="5"/>
      <c r="D133" s="5"/>
      <c r="E133" s="5"/>
      <c r="F133" s="5"/>
      <c r="G133" s="5"/>
      <c r="H133" s="5"/>
      <c r="I133" s="5"/>
      <c r="J133" s="5"/>
    </row>
    <row r="134" spans="1:10">
      <c r="A134" s="5"/>
      <c r="D134" s="5"/>
      <c r="E134" s="5"/>
      <c r="F134" s="5"/>
      <c r="G134" s="5"/>
      <c r="H134" s="5"/>
      <c r="I134" s="5"/>
      <c r="J134" s="5"/>
    </row>
    <row r="135" spans="1:10">
      <c r="A135" s="5"/>
      <c r="D135" s="5"/>
      <c r="E135" s="5"/>
      <c r="F135" s="5"/>
      <c r="G135" s="5"/>
      <c r="H135" s="5"/>
      <c r="I135" s="5"/>
      <c r="J135" s="5"/>
    </row>
    <row r="136" spans="1:10">
      <c r="A136" s="5"/>
      <c r="D136" s="5"/>
      <c r="E136" s="5"/>
      <c r="F136" s="5"/>
      <c r="G136" s="5"/>
      <c r="H136" s="5"/>
      <c r="I136" s="5"/>
      <c r="J136" s="5"/>
    </row>
    <row r="137" spans="1:10">
      <c r="A137" s="5"/>
      <c r="D137" s="5"/>
      <c r="E137" s="5"/>
      <c r="F137" s="5"/>
      <c r="G137" s="5"/>
      <c r="H137" s="5"/>
      <c r="I137" s="5"/>
      <c r="J137" s="5"/>
    </row>
    <row r="138" spans="1:10">
      <c r="A138" s="5"/>
      <c r="D138" s="5"/>
      <c r="E138" s="5"/>
      <c r="F138" s="5"/>
      <c r="G138" s="5"/>
      <c r="H138" s="5"/>
      <c r="I138" s="5"/>
      <c r="J138" s="5"/>
    </row>
    <row r="139" spans="1:10">
      <c r="A139" s="5"/>
      <c r="D139" s="5"/>
      <c r="E139" s="5"/>
      <c r="F139" s="5"/>
      <c r="G139" s="5"/>
      <c r="H139" s="5"/>
      <c r="I139" s="5"/>
      <c r="J139" s="5"/>
    </row>
    <row r="140" spans="1:10">
      <c r="A140" s="5"/>
      <c r="D140" s="5"/>
      <c r="E140" s="5"/>
      <c r="F140" s="5"/>
      <c r="G140" s="5"/>
      <c r="H140" s="5"/>
      <c r="I140" s="5"/>
      <c r="J140" s="5"/>
    </row>
    <row r="141" spans="1:10">
      <c r="A141" s="5"/>
      <c r="D141" s="5"/>
      <c r="E141" s="5"/>
      <c r="F141" s="5"/>
      <c r="G141" s="5"/>
      <c r="H141" s="5"/>
      <c r="I141" s="5"/>
      <c r="J141" s="5"/>
    </row>
    <row r="142" spans="1:10">
      <c r="A142" s="5"/>
      <c r="D142" s="5"/>
      <c r="E142" s="5"/>
      <c r="F142" s="5"/>
      <c r="G142" s="5"/>
      <c r="H142" s="5"/>
      <c r="I142" s="5"/>
      <c r="J142" s="5"/>
    </row>
    <row r="143" spans="1:10">
      <c r="A143" s="5"/>
      <c r="D143" s="5"/>
      <c r="E143" s="5"/>
      <c r="F143" s="5"/>
      <c r="G143" s="5"/>
      <c r="H143" s="5"/>
      <c r="I143" s="5"/>
      <c r="J143" s="5"/>
    </row>
    <row r="144" spans="1:10">
      <c r="A144" s="5"/>
      <c r="D144" s="5"/>
      <c r="E144" s="5"/>
      <c r="F144" s="5"/>
      <c r="G144" s="5"/>
      <c r="H144" s="5"/>
      <c r="I144" s="5"/>
      <c r="J144" s="5"/>
    </row>
    <row r="145" spans="1:10">
      <c r="A145" s="5"/>
      <c r="D145" s="5"/>
      <c r="E145" s="5"/>
      <c r="F145" s="5"/>
      <c r="G145" s="5"/>
      <c r="H145" s="5"/>
      <c r="I145" s="5"/>
      <c r="J145" s="5"/>
    </row>
    <row r="146" spans="1:10">
      <c r="A146" s="5"/>
      <c r="D146" s="5"/>
      <c r="E146" s="5"/>
      <c r="F146" s="5"/>
      <c r="G146" s="5"/>
      <c r="H146" s="5"/>
      <c r="I146" s="5"/>
      <c r="J146" s="5"/>
    </row>
    <row r="147" spans="1:10">
      <c r="A147" s="5"/>
      <c r="D147" s="5"/>
      <c r="E147" s="5"/>
      <c r="F147" s="5"/>
      <c r="G147" s="5"/>
      <c r="H147" s="5"/>
      <c r="I147" s="5"/>
      <c r="J147" s="5"/>
    </row>
    <row r="148" spans="1:10">
      <c r="A148" s="5"/>
      <c r="D148" s="5"/>
      <c r="E148" s="5"/>
      <c r="F148" s="5"/>
      <c r="G148" s="5"/>
      <c r="H148" s="5"/>
      <c r="I148" s="5"/>
      <c r="J148" s="5"/>
    </row>
    <row r="149" spans="1:10">
      <c r="A149" s="5"/>
      <c r="D149" s="5"/>
      <c r="E149" s="5"/>
      <c r="F149" s="5"/>
      <c r="G149" s="5"/>
      <c r="H149" s="5"/>
      <c r="I149" s="5"/>
      <c r="J149" s="5"/>
    </row>
    <row r="150" spans="1:10">
      <c r="A150" s="5"/>
      <c r="D150" s="5"/>
      <c r="E150" s="5"/>
      <c r="F150" s="5"/>
      <c r="G150" s="5"/>
      <c r="H150" s="5"/>
      <c r="I150" s="5"/>
      <c r="J150" s="5"/>
    </row>
    <row r="151" spans="1:10">
      <c r="A151" s="5"/>
      <c r="D151" s="5"/>
      <c r="E151" s="5"/>
      <c r="F151" s="5"/>
      <c r="G151" s="5"/>
      <c r="H151" s="5"/>
      <c r="I151" s="5"/>
      <c r="J151" s="5"/>
    </row>
    <row r="152" spans="1:10">
      <c r="A152" s="5"/>
      <c r="D152" s="5"/>
      <c r="E152" s="5"/>
      <c r="F152" s="5"/>
      <c r="G152" s="5"/>
      <c r="H152" s="5"/>
      <c r="I152" s="5"/>
      <c r="J152" s="5"/>
    </row>
    <row r="153" spans="1:10">
      <c r="A153" s="5"/>
      <c r="D153" s="5"/>
      <c r="E153" s="5"/>
      <c r="F153" s="5"/>
      <c r="G153" s="5"/>
      <c r="H153" s="5"/>
      <c r="I153" s="5"/>
      <c r="J153" s="5"/>
    </row>
    <row r="154" spans="1:10">
      <c r="A154" s="5"/>
      <c r="D154" s="5"/>
      <c r="E154" s="5"/>
      <c r="F154" s="5"/>
      <c r="G154" s="5"/>
      <c r="H154" s="5"/>
      <c r="I154" s="5"/>
      <c r="J154" s="5"/>
    </row>
    <row r="155" spans="1:10">
      <c r="A155" s="5"/>
      <c r="D155" s="5"/>
      <c r="E155" s="5"/>
      <c r="F155" s="5"/>
      <c r="G155" s="5"/>
      <c r="H155" s="5"/>
      <c r="I155" s="5"/>
      <c r="J155" s="5"/>
    </row>
    <row r="156" spans="1:10">
      <c r="A156" s="5"/>
      <c r="D156" s="5"/>
      <c r="E156" s="5"/>
      <c r="F156" s="5"/>
      <c r="G156" s="5"/>
      <c r="H156" s="5"/>
      <c r="I156" s="5"/>
      <c r="J156" s="5"/>
    </row>
    <row r="157" spans="1:10">
      <c r="A157" s="5"/>
      <c r="D157" s="5"/>
      <c r="E157" s="5"/>
      <c r="F157" s="5"/>
      <c r="G157" s="5"/>
      <c r="H157" s="5"/>
      <c r="I157" s="5"/>
      <c r="J157" s="5"/>
    </row>
    <row r="158" spans="1:10">
      <c r="A158" s="5"/>
      <c r="D158" s="5"/>
      <c r="E158" s="5"/>
      <c r="F158" s="5"/>
      <c r="G158" s="5"/>
      <c r="H158" s="5"/>
      <c r="I158" s="5"/>
      <c r="J158" s="5"/>
    </row>
    <row r="159" spans="1:10">
      <c r="A159" s="5"/>
      <c r="D159" s="5"/>
      <c r="E159" s="5"/>
      <c r="F159" s="5"/>
      <c r="G159" s="5"/>
      <c r="H159" s="5"/>
      <c r="I159" s="5"/>
      <c r="J159" s="5"/>
    </row>
    <row r="160" spans="1:10">
      <c r="A160" s="5"/>
      <c r="D160" s="5"/>
      <c r="E160" s="5"/>
      <c r="F160" s="5"/>
      <c r="G160" s="5"/>
      <c r="H160" s="5"/>
      <c r="I160" s="5"/>
      <c r="J160" s="5"/>
    </row>
  </sheetData>
  <mergeCells count="2">
    <mergeCell ref="A1:J1"/>
    <mergeCell ref="A2:J2"/>
  </mergeCells>
  <conditionalFormatting sqref="B1:B3 B161:B1048576">
    <cfRule type="cellIs" dxfId="9" priority="2" operator="equal">
      <formula>"Sat"</formula>
    </cfRule>
  </conditionalFormatting>
  <conditionalFormatting sqref="B4:B24">
    <cfRule type="containsText" dxfId="8" priority="1" operator="containsText" text="Sun">
      <formula>NOT(ISERROR(SEARCH("Sun",B4)))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0772-8FB3-49AA-AEE7-B3E78B842F45}">
  <dimension ref="A1:T160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5" sqref="A25:J160"/>
    </sheetView>
  </sheetViews>
  <sheetFormatPr defaultRowHeight="15"/>
  <cols>
    <col min="1" max="1" width="10.85546875" style="1" bestFit="1" customWidth="1"/>
    <col min="2" max="2" width="10.85546875" style="5" customWidth="1"/>
    <col min="3" max="3" width="7.85546875" style="5" customWidth="1"/>
    <col min="4" max="4" width="11.7109375" style="1" bestFit="1" customWidth="1"/>
    <col min="5" max="7" width="11.85546875" style="1" bestFit="1" customWidth="1"/>
    <col min="8" max="9" width="12.5703125" style="1" bestFit="1" customWidth="1"/>
    <col min="10" max="10" width="11.85546875" style="1" bestFit="1" customWidth="1"/>
    <col min="11" max="11" width="35.5703125" style="5" bestFit="1" customWidth="1"/>
    <col min="12" max="12" width="13.42578125" style="1" bestFit="1" customWidth="1"/>
    <col min="13" max="13" width="11" style="1" customWidth="1"/>
    <col min="14" max="14" width="55.42578125" style="50" bestFit="1" customWidth="1"/>
    <col min="15" max="15" width="6.42578125" style="3" customWidth="1"/>
    <col min="16" max="16" width="8.5703125" style="2" bestFit="1" customWidth="1"/>
    <col min="17" max="17" width="9" style="2" bestFit="1" customWidth="1"/>
    <col min="18" max="18" width="25.7109375" style="12" bestFit="1" customWidth="1"/>
    <col min="19" max="16384" width="9.140625" style="2"/>
  </cols>
  <sheetData>
    <row r="1" spans="1:20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</row>
    <row r="2" spans="1:20" ht="18.75">
      <c r="A2" s="95" t="s">
        <v>198</v>
      </c>
      <c r="B2" s="95"/>
      <c r="C2" s="95"/>
      <c r="D2" s="95"/>
      <c r="E2" s="95"/>
      <c r="F2" s="95"/>
      <c r="G2" s="95"/>
      <c r="H2" s="95"/>
      <c r="I2" s="95"/>
      <c r="J2" s="95"/>
      <c r="L2" s="23"/>
      <c r="M2" s="23"/>
      <c r="N2" s="53"/>
      <c r="O2" s="23"/>
      <c r="P2" s="23"/>
      <c r="Q2" s="23"/>
      <c r="R2" s="23"/>
      <c r="S2" s="23"/>
      <c r="T2" s="23"/>
    </row>
    <row r="3" spans="1:20" s="1" customFormat="1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L3" s="11" t="s">
        <v>9</v>
      </c>
      <c r="M3" s="11"/>
      <c r="N3" s="54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8" t="s">
        <v>16</v>
      </c>
      <c r="T3" s="8" t="s">
        <v>17</v>
      </c>
    </row>
    <row r="4" spans="1:20">
      <c r="A4" s="24">
        <v>46237</v>
      </c>
      <c r="B4" s="4" t="s">
        <v>19</v>
      </c>
      <c r="C4" s="7">
        <v>1</v>
      </c>
      <c r="D4" s="61" t="s">
        <v>96</v>
      </c>
      <c r="E4" s="16" t="s">
        <v>119</v>
      </c>
      <c r="F4" s="4" t="s">
        <v>97</v>
      </c>
      <c r="G4" s="18"/>
      <c r="H4" s="15" t="s">
        <v>88</v>
      </c>
      <c r="I4" s="16" t="s">
        <v>98</v>
      </c>
      <c r="J4" s="61" t="s">
        <v>94</v>
      </c>
      <c r="L4" s="4" t="s">
        <v>83</v>
      </c>
      <c r="M4" s="4"/>
      <c r="N4" s="36" t="s">
        <v>41</v>
      </c>
      <c r="O4" s="25">
        <v>2</v>
      </c>
      <c r="P4" s="14">
        <f t="shared" ref="P4:P15" si="0">Q4/1.25</f>
        <v>24</v>
      </c>
      <c r="Q4" s="14">
        <f t="shared" ref="Q4:Q15" si="1">O4*15</f>
        <v>30</v>
      </c>
      <c r="R4" s="34" t="s">
        <v>81</v>
      </c>
      <c r="S4" s="13">
        <f>COUNTIF($D$4:$J$144,"AIM")</f>
        <v>1</v>
      </c>
      <c r="T4" s="13">
        <f t="shared" ref="T4:T15" si="2">P4-S4</f>
        <v>23</v>
      </c>
    </row>
    <row r="5" spans="1:20" ht="25.5">
      <c r="A5" s="24">
        <v>46238</v>
      </c>
      <c r="B5" s="4" t="s">
        <v>20</v>
      </c>
      <c r="C5" s="7">
        <f>C4+1</f>
        <v>2</v>
      </c>
      <c r="D5" s="61" t="s">
        <v>28</v>
      </c>
      <c r="E5" s="16" t="s">
        <v>175</v>
      </c>
      <c r="F5" s="16" t="s">
        <v>187</v>
      </c>
      <c r="G5" s="18"/>
      <c r="H5" s="16" t="s">
        <v>190</v>
      </c>
      <c r="I5" s="16"/>
      <c r="J5" s="61" t="s">
        <v>93</v>
      </c>
      <c r="L5" s="26" t="s">
        <v>84</v>
      </c>
      <c r="M5" s="26"/>
      <c r="N5" s="36" t="s">
        <v>42</v>
      </c>
      <c r="O5" s="27">
        <v>2</v>
      </c>
      <c r="P5" s="14">
        <f t="shared" si="0"/>
        <v>24</v>
      </c>
      <c r="Q5" s="14">
        <f t="shared" si="1"/>
        <v>30</v>
      </c>
      <c r="R5" s="31"/>
      <c r="S5" s="13">
        <f>COUNTIF($D$4:$J$144,"MA")</f>
        <v>0</v>
      </c>
      <c r="T5" s="13">
        <f t="shared" si="2"/>
        <v>24</v>
      </c>
    </row>
    <row r="6" spans="1:20" ht="25.5">
      <c r="A6" s="24">
        <v>46239</v>
      </c>
      <c r="B6" s="4" t="s">
        <v>21</v>
      </c>
      <c r="C6" s="7">
        <f t="shared" ref="C6:C9" si="3">C5+1</f>
        <v>3</v>
      </c>
      <c r="D6" s="17" t="s">
        <v>126</v>
      </c>
      <c r="E6" s="4" t="s">
        <v>95</v>
      </c>
      <c r="F6" s="17" t="s">
        <v>178</v>
      </c>
      <c r="G6" s="18"/>
      <c r="H6" s="16" t="s">
        <v>191</v>
      </c>
      <c r="I6" s="16" t="s">
        <v>184</v>
      </c>
      <c r="J6" s="61" t="s">
        <v>118</v>
      </c>
      <c r="L6" s="26" t="s">
        <v>32</v>
      </c>
      <c r="M6" s="26"/>
      <c r="N6" s="36" t="s">
        <v>43</v>
      </c>
      <c r="O6" s="25">
        <v>2</v>
      </c>
      <c r="P6" s="14">
        <f t="shared" si="0"/>
        <v>24</v>
      </c>
      <c r="Q6" s="14">
        <f t="shared" si="1"/>
        <v>30</v>
      </c>
      <c r="R6" s="35" t="s">
        <v>61</v>
      </c>
      <c r="S6" s="13">
        <f>COUNTIF($D$4:$J$144,"FT")</f>
        <v>0</v>
      </c>
      <c r="T6" s="13">
        <f t="shared" si="2"/>
        <v>24</v>
      </c>
    </row>
    <row r="7" spans="1:20" ht="25.5">
      <c r="A7" s="24">
        <v>46240</v>
      </c>
      <c r="B7" s="4" t="s">
        <v>22</v>
      </c>
      <c r="C7" s="7">
        <f t="shared" si="3"/>
        <v>4</v>
      </c>
      <c r="D7" s="4" t="s">
        <v>116</v>
      </c>
      <c r="E7" s="17" t="s">
        <v>183</v>
      </c>
      <c r="F7" s="16" t="s">
        <v>26</v>
      </c>
      <c r="G7" s="18"/>
      <c r="H7" s="16" t="s">
        <v>181</v>
      </c>
      <c r="I7" s="16" t="s">
        <v>192</v>
      </c>
      <c r="J7" s="61" t="s">
        <v>120</v>
      </c>
      <c r="L7" s="26" t="s">
        <v>129</v>
      </c>
      <c r="M7" s="26"/>
      <c r="N7" s="38" t="s">
        <v>55</v>
      </c>
      <c r="O7" s="28">
        <v>1</v>
      </c>
      <c r="P7" s="14">
        <f t="shared" si="0"/>
        <v>12</v>
      </c>
      <c r="Q7" s="14">
        <f t="shared" si="1"/>
        <v>15</v>
      </c>
      <c r="R7" s="31"/>
      <c r="S7" s="13">
        <f>COUNTIF($D$4:$J$144,"SFM")</f>
        <v>0</v>
      </c>
      <c r="T7" s="13">
        <f t="shared" si="2"/>
        <v>12</v>
      </c>
    </row>
    <row r="8" spans="1:20">
      <c r="A8" s="24">
        <v>46241</v>
      </c>
      <c r="B8" s="4" t="s">
        <v>23</v>
      </c>
      <c r="C8" s="7">
        <f t="shared" si="3"/>
        <v>5</v>
      </c>
      <c r="D8" s="73" t="s">
        <v>134</v>
      </c>
      <c r="E8" s="73" t="s">
        <v>134</v>
      </c>
      <c r="F8" s="73" t="s">
        <v>134</v>
      </c>
      <c r="G8" s="18"/>
      <c r="H8" s="73" t="s">
        <v>134</v>
      </c>
      <c r="I8" s="73" t="s">
        <v>134</v>
      </c>
      <c r="J8" s="73" t="s">
        <v>134</v>
      </c>
      <c r="L8" s="20" t="s">
        <v>117</v>
      </c>
      <c r="M8" s="20"/>
      <c r="N8" s="36" t="s">
        <v>136</v>
      </c>
      <c r="O8" s="39">
        <v>2</v>
      </c>
      <c r="P8" s="55">
        <f t="shared" si="0"/>
        <v>24</v>
      </c>
      <c r="Q8" s="55">
        <f t="shared" si="1"/>
        <v>30</v>
      </c>
      <c r="R8" s="56" t="s">
        <v>82</v>
      </c>
      <c r="S8" s="29">
        <f>COUNTIF($D$4:$J$144,"TAX")</f>
        <v>0</v>
      </c>
      <c r="T8" s="29">
        <f t="shared" si="2"/>
        <v>24</v>
      </c>
    </row>
    <row r="9" spans="1:20">
      <c r="A9" s="24">
        <v>46242</v>
      </c>
      <c r="B9" s="4" t="s">
        <v>24</v>
      </c>
      <c r="C9" s="7">
        <f t="shared" si="3"/>
        <v>6</v>
      </c>
      <c r="D9" s="73"/>
      <c r="E9" s="73"/>
      <c r="F9" s="73" t="s">
        <v>32</v>
      </c>
      <c r="G9" s="18"/>
      <c r="H9" s="73" t="s">
        <v>32</v>
      </c>
      <c r="I9" s="73"/>
      <c r="J9" s="73"/>
      <c r="L9" s="19" t="s">
        <v>120</v>
      </c>
      <c r="M9" s="19"/>
      <c r="N9" s="36" t="s">
        <v>137</v>
      </c>
      <c r="O9" s="39">
        <v>2</v>
      </c>
      <c r="P9" s="55">
        <f t="shared" si="0"/>
        <v>24</v>
      </c>
      <c r="Q9" s="55">
        <f t="shared" si="1"/>
        <v>30</v>
      </c>
      <c r="R9" s="76" t="s">
        <v>68</v>
      </c>
      <c r="S9" s="29">
        <f>COUNTIF($D$4:$J$144,"SAPM")</f>
        <v>3</v>
      </c>
      <c r="T9" s="29">
        <f t="shared" si="2"/>
        <v>21</v>
      </c>
    </row>
    <row r="10" spans="1:20">
      <c r="A10" s="24">
        <v>46243</v>
      </c>
      <c r="B10" s="4" t="s">
        <v>25</v>
      </c>
      <c r="C10" s="7"/>
      <c r="D10" s="21"/>
      <c r="E10" s="21"/>
      <c r="F10" s="22"/>
      <c r="G10" s="6"/>
      <c r="H10" s="22"/>
      <c r="I10" s="21"/>
      <c r="J10" s="75"/>
      <c r="L10" s="19" t="s">
        <v>85</v>
      </c>
      <c r="M10" s="19"/>
      <c r="N10" s="36" t="s">
        <v>138</v>
      </c>
      <c r="O10" s="39">
        <v>2</v>
      </c>
      <c r="P10" s="55">
        <f t="shared" si="0"/>
        <v>24</v>
      </c>
      <c r="Q10" s="55">
        <f t="shared" si="1"/>
        <v>30</v>
      </c>
      <c r="R10" s="76" t="s">
        <v>65</v>
      </c>
      <c r="S10" s="29">
        <f>COUNTIF($D$4:$J$144,"DSMM")</f>
        <v>3</v>
      </c>
      <c r="T10" s="29">
        <f t="shared" si="2"/>
        <v>21</v>
      </c>
    </row>
    <row r="11" spans="1:20">
      <c r="A11" s="24">
        <v>46244</v>
      </c>
      <c r="B11" s="4" t="s">
        <v>19</v>
      </c>
      <c r="C11" s="7">
        <f>C9+1</f>
        <v>7</v>
      </c>
      <c r="D11" s="61" t="s">
        <v>96</v>
      </c>
      <c r="E11" s="16" t="s">
        <v>119</v>
      </c>
      <c r="F11" s="4" t="s">
        <v>97</v>
      </c>
      <c r="G11" s="18"/>
      <c r="H11" s="15" t="s">
        <v>203</v>
      </c>
      <c r="I11" s="16" t="s">
        <v>98</v>
      </c>
      <c r="J11" s="61" t="s">
        <v>94</v>
      </c>
      <c r="L11" s="19" t="s">
        <v>86</v>
      </c>
      <c r="M11" s="19"/>
      <c r="N11" s="36" t="s">
        <v>139</v>
      </c>
      <c r="O11" s="39">
        <v>2</v>
      </c>
      <c r="P11" s="55">
        <f t="shared" si="0"/>
        <v>24</v>
      </c>
      <c r="Q11" s="55">
        <f t="shared" si="1"/>
        <v>30</v>
      </c>
      <c r="R11" s="76" t="s">
        <v>58</v>
      </c>
      <c r="S11" s="29">
        <f>COUNTIF($D$4:$J$144,"IMC")</f>
        <v>0</v>
      </c>
      <c r="T11" s="29">
        <f t="shared" si="2"/>
        <v>24</v>
      </c>
    </row>
    <row r="12" spans="1:20" ht="25.5">
      <c r="A12" s="24">
        <v>46245</v>
      </c>
      <c r="B12" s="4" t="s">
        <v>20</v>
      </c>
      <c r="C12" s="7">
        <f>C11+1</f>
        <v>8</v>
      </c>
      <c r="D12" s="61" t="s">
        <v>28</v>
      </c>
      <c r="E12" s="16" t="s">
        <v>175</v>
      </c>
      <c r="F12" s="16" t="s">
        <v>187</v>
      </c>
      <c r="G12" s="18"/>
      <c r="H12" s="16" t="s">
        <v>190</v>
      </c>
      <c r="I12" s="16" t="s">
        <v>83</v>
      </c>
      <c r="J12" s="61" t="s">
        <v>93</v>
      </c>
      <c r="L12" s="19" t="s">
        <v>87</v>
      </c>
      <c r="M12" s="19"/>
      <c r="N12" s="36" t="s">
        <v>140</v>
      </c>
      <c r="O12" s="39">
        <v>2</v>
      </c>
      <c r="P12" s="55">
        <f t="shared" si="0"/>
        <v>24</v>
      </c>
      <c r="Q12" s="55">
        <f t="shared" si="1"/>
        <v>30</v>
      </c>
      <c r="R12" s="76" t="s">
        <v>67</v>
      </c>
      <c r="S12" s="29">
        <f>COUNTIF($D$4:$J$144,"PS")</f>
        <v>0</v>
      </c>
      <c r="T12" s="29">
        <f t="shared" si="2"/>
        <v>24</v>
      </c>
    </row>
    <row r="13" spans="1:20" ht="25.5">
      <c r="A13" s="24">
        <v>46246</v>
      </c>
      <c r="B13" s="4" t="s">
        <v>21</v>
      </c>
      <c r="C13" s="7">
        <f t="shared" ref="C13:C15" si="4">C12+1</f>
        <v>9</v>
      </c>
      <c r="D13" s="17" t="s">
        <v>126</v>
      </c>
      <c r="E13" s="4" t="s">
        <v>95</v>
      </c>
      <c r="F13" s="17" t="s">
        <v>178</v>
      </c>
      <c r="G13" s="18"/>
      <c r="H13" s="16" t="s">
        <v>191</v>
      </c>
      <c r="I13" s="16" t="s">
        <v>184</v>
      </c>
      <c r="J13" s="61" t="s">
        <v>118</v>
      </c>
      <c r="L13" s="19" t="s">
        <v>88</v>
      </c>
      <c r="M13" s="19"/>
      <c r="N13" s="36" t="s">
        <v>141</v>
      </c>
      <c r="O13" s="39">
        <v>2</v>
      </c>
      <c r="P13" s="55">
        <f t="shared" si="0"/>
        <v>24</v>
      </c>
      <c r="Q13" s="55">
        <f t="shared" si="1"/>
        <v>30</v>
      </c>
      <c r="R13" s="76" t="s">
        <v>66</v>
      </c>
      <c r="S13" s="29">
        <f>COUNTIF($D$4:$J$144,"DDM")</f>
        <v>3</v>
      </c>
      <c r="T13" s="29">
        <f t="shared" si="2"/>
        <v>21</v>
      </c>
    </row>
    <row r="14" spans="1:20" ht="25.5">
      <c r="A14" s="24">
        <v>46247</v>
      </c>
      <c r="B14" s="4" t="s">
        <v>22</v>
      </c>
      <c r="C14" s="7">
        <f t="shared" si="4"/>
        <v>10</v>
      </c>
      <c r="D14" s="4" t="s">
        <v>116</v>
      </c>
      <c r="E14" s="17" t="s">
        <v>183</v>
      </c>
      <c r="F14" s="16" t="s">
        <v>26</v>
      </c>
      <c r="G14" s="18"/>
      <c r="H14" s="16" t="s">
        <v>181</v>
      </c>
      <c r="I14" s="16" t="s">
        <v>192</v>
      </c>
      <c r="J14" s="61" t="s">
        <v>120</v>
      </c>
      <c r="L14" s="19" t="s">
        <v>121</v>
      </c>
      <c r="M14" s="19"/>
      <c r="N14" s="36" t="s">
        <v>142</v>
      </c>
      <c r="O14" s="39">
        <v>2</v>
      </c>
      <c r="P14" s="55">
        <f t="shared" si="0"/>
        <v>24</v>
      </c>
      <c r="Q14" s="55">
        <f t="shared" si="1"/>
        <v>30</v>
      </c>
      <c r="R14" s="76"/>
      <c r="S14" s="29">
        <f>COUNTIF($D$4:$J$144,"EM")</f>
        <v>0</v>
      </c>
      <c r="T14" s="29">
        <f t="shared" si="2"/>
        <v>24</v>
      </c>
    </row>
    <row r="15" spans="1:20">
      <c r="A15" s="24">
        <v>46248</v>
      </c>
      <c r="B15" s="4" t="s">
        <v>23</v>
      </c>
      <c r="C15" s="7">
        <f t="shared" si="4"/>
        <v>11</v>
      </c>
      <c r="D15" s="73" t="s">
        <v>34</v>
      </c>
      <c r="E15" s="73" t="s">
        <v>34</v>
      </c>
      <c r="F15" s="73"/>
      <c r="G15" s="18"/>
      <c r="H15" s="73"/>
      <c r="I15" s="73"/>
      <c r="J15" s="73"/>
      <c r="L15" s="19" t="s">
        <v>122</v>
      </c>
      <c r="M15" s="19"/>
      <c r="N15" s="36" t="s">
        <v>143</v>
      </c>
      <c r="O15" s="39">
        <v>2</v>
      </c>
      <c r="P15" s="55">
        <f t="shared" si="0"/>
        <v>24</v>
      </c>
      <c r="Q15" s="55">
        <f t="shared" si="1"/>
        <v>30</v>
      </c>
      <c r="R15" s="76" t="s">
        <v>66</v>
      </c>
      <c r="S15" s="29">
        <f>COUNTIF($D$4:$J$144,"GSCM")</f>
        <v>0</v>
      </c>
      <c r="T15" s="29">
        <f t="shared" si="2"/>
        <v>24</v>
      </c>
    </row>
    <row r="16" spans="1:20">
      <c r="A16" s="24">
        <v>46249</v>
      </c>
      <c r="B16" s="4" t="s">
        <v>24</v>
      </c>
      <c r="C16" s="9" t="s">
        <v>33</v>
      </c>
      <c r="D16" s="73"/>
      <c r="E16" s="73"/>
      <c r="F16" s="73"/>
      <c r="G16" s="18"/>
      <c r="H16" s="73"/>
      <c r="I16" s="73"/>
      <c r="J16" s="73"/>
      <c r="L16" s="19"/>
      <c r="M16" s="19"/>
      <c r="N16" s="37" t="s">
        <v>35</v>
      </c>
      <c r="O16" s="70">
        <v>4</v>
      </c>
      <c r="P16" s="55">
        <f t="shared" ref="P16:P27" si="5">Q16/1.25</f>
        <v>48</v>
      </c>
      <c r="Q16" s="55">
        <f t="shared" ref="Q16:Q27" si="6">O16*15</f>
        <v>60</v>
      </c>
      <c r="R16" s="56"/>
      <c r="S16" s="29">
        <f>COUNTIF($D$4:$J$144,"WAAL")</f>
        <v>0</v>
      </c>
      <c r="T16" s="29">
        <f t="shared" ref="T16:T27" si="7">P16-S16</f>
        <v>48</v>
      </c>
    </row>
    <row r="17" spans="1:20">
      <c r="A17" s="24">
        <v>46250</v>
      </c>
      <c r="B17" s="4" t="s">
        <v>25</v>
      </c>
      <c r="C17" s="9"/>
      <c r="D17" s="21"/>
      <c r="E17" s="21"/>
      <c r="F17" s="22"/>
      <c r="G17" s="6"/>
      <c r="H17" s="22"/>
      <c r="I17" s="21"/>
      <c r="J17" s="75"/>
      <c r="L17" s="19" t="s">
        <v>123</v>
      </c>
      <c r="M17" s="19"/>
      <c r="N17" s="37" t="s">
        <v>144</v>
      </c>
      <c r="O17" s="72">
        <v>2</v>
      </c>
      <c r="P17" s="55">
        <f t="shared" si="5"/>
        <v>24</v>
      </c>
      <c r="Q17" s="55">
        <f t="shared" si="6"/>
        <v>30</v>
      </c>
      <c r="R17" s="56"/>
      <c r="S17" s="29">
        <f>COUNTIF($D$4:$J$144,"GTO")</f>
        <v>0</v>
      </c>
      <c r="T17" s="29">
        <f t="shared" si="7"/>
        <v>24</v>
      </c>
    </row>
    <row r="18" spans="1:20">
      <c r="A18" s="24">
        <v>46251</v>
      </c>
      <c r="B18" s="4" t="s">
        <v>19</v>
      </c>
      <c r="C18" s="9">
        <f>C15+1</f>
        <v>12</v>
      </c>
      <c r="D18" s="61" t="s">
        <v>96</v>
      </c>
      <c r="E18" s="16" t="s">
        <v>119</v>
      </c>
      <c r="F18" s="4" t="s">
        <v>97</v>
      </c>
      <c r="G18" s="18"/>
      <c r="H18" s="15" t="s">
        <v>203</v>
      </c>
      <c r="I18" s="16" t="s">
        <v>98</v>
      </c>
      <c r="J18" s="61" t="s">
        <v>94</v>
      </c>
      <c r="K18" s="5" t="s">
        <v>216</v>
      </c>
      <c r="L18" s="19" t="s">
        <v>89</v>
      </c>
      <c r="M18" s="19"/>
      <c r="N18" s="37" t="s">
        <v>145</v>
      </c>
      <c r="O18" s="72">
        <v>2</v>
      </c>
      <c r="P18" s="55">
        <f t="shared" si="5"/>
        <v>24</v>
      </c>
      <c r="Q18" s="55">
        <f t="shared" si="6"/>
        <v>30</v>
      </c>
      <c r="R18" s="56" t="s">
        <v>80</v>
      </c>
      <c r="S18" s="29">
        <f>COUNTIF($D$4:$J$144,"RSCM")</f>
        <v>0</v>
      </c>
      <c r="T18" s="29">
        <f t="shared" si="7"/>
        <v>24</v>
      </c>
    </row>
    <row r="19" spans="1:20" ht="25.5">
      <c r="A19" s="24">
        <v>46252</v>
      </c>
      <c r="B19" s="4" t="s">
        <v>20</v>
      </c>
      <c r="C19" s="9">
        <f>C18+1</f>
        <v>13</v>
      </c>
      <c r="D19" s="61" t="s">
        <v>28</v>
      </c>
      <c r="E19" s="16" t="s">
        <v>175</v>
      </c>
      <c r="F19" s="16" t="s">
        <v>187</v>
      </c>
      <c r="G19" s="18"/>
      <c r="H19" s="16" t="s">
        <v>190</v>
      </c>
      <c r="I19" s="16"/>
      <c r="J19" s="61" t="s">
        <v>93</v>
      </c>
      <c r="K19" s="5" t="s">
        <v>217</v>
      </c>
      <c r="L19" s="64" t="s">
        <v>90</v>
      </c>
      <c r="M19" s="64"/>
      <c r="N19" s="65" t="s">
        <v>146</v>
      </c>
      <c r="O19" s="66">
        <v>2</v>
      </c>
      <c r="P19" s="67">
        <f t="shared" si="5"/>
        <v>24</v>
      </c>
      <c r="Q19" s="67">
        <f t="shared" si="6"/>
        <v>30</v>
      </c>
      <c r="R19" s="68" t="s">
        <v>30</v>
      </c>
      <c r="S19" s="69">
        <f>COUNTIF($D$4:$J$144,"IHRM")</f>
        <v>0</v>
      </c>
      <c r="T19" s="69">
        <f t="shared" si="7"/>
        <v>24</v>
      </c>
    </row>
    <row r="20" spans="1:20" ht="25.5">
      <c r="A20" s="24">
        <v>46253</v>
      </c>
      <c r="B20" s="4" t="s">
        <v>21</v>
      </c>
      <c r="C20" s="9">
        <f t="shared" ref="C20:C23" si="8">C19+1</f>
        <v>14</v>
      </c>
      <c r="D20" s="17" t="s">
        <v>126</v>
      </c>
      <c r="E20" s="4" t="s">
        <v>95</v>
      </c>
      <c r="F20" s="17" t="s">
        <v>178</v>
      </c>
      <c r="G20" s="18"/>
      <c r="H20" s="16" t="s">
        <v>191</v>
      </c>
      <c r="I20" s="16" t="s">
        <v>184</v>
      </c>
      <c r="J20" s="61" t="s">
        <v>118</v>
      </c>
      <c r="L20" s="19" t="s">
        <v>124</v>
      </c>
      <c r="M20" s="19"/>
      <c r="N20" s="36" t="s">
        <v>147</v>
      </c>
      <c r="O20" s="41">
        <v>2</v>
      </c>
      <c r="P20" s="55">
        <f t="shared" si="5"/>
        <v>24</v>
      </c>
      <c r="Q20" s="55">
        <f t="shared" si="6"/>
        <v>30</v>
      </c>
      <c r="R20" s="56" t="s">
        <v>69</v>
      </c>
      <c r="S20" s="29">
        <f>COUNTIF($D$4:$J$144,"LEI")</f>
        <v>0</v>
      </c>
      <c r="T20" s="29">
        <f t="shared" si="7"/>
        <v>24</v>
      </c>
    </row>
    <row r="21" spans="1:20" ht="25.5">
      <c r="A21" s="24">
        <v>46254</v>
      </c>
      <c r="B21" s="4" t="s">
        <v>22</v>
      </c>
      <c r="C21" s="9">
        <f t="shared" si="8"/>
        <v>15</v>
      </c>
      <c r="D21" s="4" t="s">
        <v>116</v>
      </c>
      <c r="E21" s="17" t="s">
        <v>183</v>
      </c>
      <c r="F21" s="16" t="s">
        <v>26</v>
      </c>
      <c r="G21" s="18"/>
      <c r="H21" s="16" t="s">
        <v>202</v>
      </c>
      <c r="I21" s="16" t="s">
        <v>192</v>
      </c>
      <c r="J21" s="61" t="s">
        <v>120</v>
      </c>
      <c r="L21" s="19" t="s">
        <v>91</v>
      </c>
      <c r="M21" s="19"/>
      <c r="N21" s="36" t="s">
        <v>36</v>
      </c>
      <c r="O21" s="39">
        <v>2</v>
      </c>
      <c r="P21" s="55">
        <f t="shared" si="5"/>
        <v>24</v>
      </c>
      <c r="Q21" s="55">
        <f t="shared" si="6"/>
        <v>30</v>
      </c>
      <c r="R21" s="56" t="s">
        <v>193</v>
      </c>
      <c r="S21" s="29">
        <f>COUNTIF($D$4:$J$144,"CRP3")</f>
        <v>9</v>
      </c>
      <c r="T21" s="29">
        <f t="shared" si="7"/>
        <v>15</v>
      </c>
    </row>
    <row r="22" spans="1:20">
      <c r="A22" s="24">
        <v>46255</v>
      </c>
      <c r="B22" s="4" t="s">
        <v>23</v>
      </c>
      <c r="C22" s="9">
        <f t="shared" si="8"/>
        <v>16</v>
      </c>
      <c r="D22" s="73" t="s">
        <v>34</v>
      </c>
      <c r="E22" s="73" t="s">
        <v>34</v>
      </c>
      <c r="F22" s="73" t="s">
        <v>44</v>
      </c>
      <c r="G22" s="18"/>
      <c r="H22" s="73" t="s">
        <v>134</v>
      </c>
      <c r="I22" s="73" t="s">
        <v>134</v>
      </c>
      <c r="J22" s="73" t="s">
        <v>134</v>
      </c>
      <c r="L22" s="19" t="s">
        <v>125</v>
      </c>
      <c r="M22" s="19"/>
      <c r="N22" s="36" t="s">
        <v>148</v>
      </c>
      <c r="O22" s="39">
        <v>2</v>
      </c>
      <c r="P22" s="55">
        <f t="shared" si="5"/>
        <v>24</v>
      </c>
      <c r="Q22" s="55">
        <f t="shared" si="6"/>
        <v>30</v>
      </c>
      <c r="R22" s="56" t="s">
        <v>130</v>
      </c>
      <c r="S22" s="29">
        <f>COUNTIF($D$4:$J$144,"NEG")</f>
        <v>0</v>
      </c>
      <c r="T22" s="29">
        <f t="shared" si="7"/>
        <v>24</v>
      </c>
    </row>
    <row r="23" spans="1:20">
      <c r="A23" s="24">
        <v>46256</v>
      </c>
      <c r="B23" s="4" t="s">
        <v>24</v>
      </c>
      <c r="C23" s="9">
        <f t="shared" si="8"/>
        <v>17</v>
      </c>
      <c r="D23" s="73"/>
      <c r="E23" s="73"/>
      <c r="F23" s="73" t="s">
        <v>32</v>
      </c>
      <c r="G23" s="18"/>
      <c r="H23" s="73" t="s">
        <v>32</v>
      </c>
      <c r="I23" s="73"/>
      <c r="J23" s="73"/>
      <c r="L23" s="32" t="s">
        <v>92</v>
      </c>
      <c r="M23" s="32"/>
      <c r="N23" s="62" t="s">
        <v>149</v>
      </c>
      <c r="O23" s="39">
        <v>2</v>
      </c>
      <c r="P23" s="55">
        <f t="shared" si="5"/>
        <v>24</v>
      </c>
      <c r="Q23" s="55">
        <f t="shared" si="6"/>
        <v>30</v>
      </c>
      <c r="R23" s="56" t="s">
        <v>70</v>
      </c>
      <c r="S23" s="29">
        <f>COUNTIF($D$4:$J$144,"SHRM")</f>
        <v>0</v>
      </c>
      <c r="T23" s="29">
        <f t="shared" si="7"/>
        <v>24</v>
      </c>
    </row>
    <row r="24" spans="1:20">
      <c r="A24" s="24">
        <v>46257</v>
      </c>
      <c r="B24" s="4" t="s">
        <v>25</v>
      </c>
      <c r="C24" s="9"/>
      <c r="D24" s="21"/>
      <c r="E24" s="21"/>
      <c r="F24" s="22"/>
      <c r="G24" s="6"/>
      <c r="H24" s="22"/>
      <c r="I24" s="21"/>
      <c r="J24" s="75"/>
      <c r="L24" s="19" t="s">
        <v>29</v>
      </c>
      <c r="M24" s="19"/>
      <c r="N24" s="37" t="s">
        <v>150</v>
      </c>
      <c r="O24" s="74">
        <v>2</v>
      </c>
      <c r="P24" s="55">
        <f t="shared" si="5"/>
        <v>24</v>
      </c>
      <c r="Q24" s="55">
        <f t="shared" si="6"/>
        <v>30</v>
      </c>
      <c r="R24" s="56" t="s">
        <v>71</v>
      </c>
      <c r="S24" s="29">
        <f>COUNTIF($D$4:$J$144,"CABA")</f>
        <v>0</v>
      </c>
      <c r="T24" s="29">
        <f t="shared" si="7"/>
        <v>24</v>
      </c>
    </row>
    <row r="25" spans="1:20">
      <c r="A25" s="5"/>
      <c r="D25" s="5"/>
      <c r="E25" s="5"/>
      <c r="F25" s="5"/>
      <c r="G25" s="5"/>
      <c r="H25" s="5"/>
      <c r="I25" s="5"/>
      <c r="J25" s="5"/>
      <c r="L25" s="19" t="s">
        <v>114</v>
      </c>
      <c r="M25" s="19"/>
      <c r="N25" s="37" t="s">
        <v>151</v>
      </c>
      <c r="O25" s="74">
        <v>2</v>
      </c>
      <c r="P25" s="55">
        <f t="shared" si="5"/>
        <v>24</v>
      </c>
      <c r="Q25" s="55">
        <f t="shared" si="6"/>
        <v>30</v>
      </c>
      <c r="R25" s="56" t="s">
        <v>130</v>
      </c>
      <c r="S25" s="29">
        <f>COUNTIF($D$4:$J$144,"DABA")</f>
        <v>0</v>
      </c>
      <c r="T25" s="29">
        <f t="shared" si="7"/>
        <v>24</v>
      </c>
    </row>
    <row r="26" spans="1:20">
      <c r="A26" s="5"/>
      <c r="D26" s="5"/>
      <c r="E26" s="5"/>
      <c r="F26" s="5"/>
      <c r="G26" s="5"/>
      <c r="H26" s="5"/>
      <c r="I26" s="5"/>
      <c r="J26" s="5"/>
      <c r="L26" s="19" t="s">
        <v>179</v>
      </c>
      <c r="M26" s="19"/>
      <c r="N26" s="71" t="s">
        <v>180</v>
      </c>
      <c r="O26" s="74">
        <v>2</v>
      </c>
      <c r="P26" s="55">
        <f t="shared" si="5"/>
        <v>24</v>
      </c>
      <c r="Q26" s="55">
        <f t="shared" si="6"/>
        <v>30</v>
      </c>
      <c r="R26" s="37" t="s">
        <v>201</v>
      </c>
      <c r="S26" s="29">
        <f>COUNTIF($D$4:$J$144,"DABA")</f>
        <v>0</v>
      </c>
      <c r="T26" s="29">
        <f t="shared" si="7"/>
        <v>24</v>
      </c>
    </row>
    <row r="27" spans="1:20">
      <c r="A27" s="5"/>
      <c r="D27" s="5"/>
      <c r="E27" s="5"/>
      <c r="F27" s="5"/>
      <c r="G27" s="5"/>
      <c r="H27" s="5"/>
      <c r="I27" s="5"/>
      <c r="J27" s="5"/>
      <c r="L27" s="19" t="s">
        <v>93</v>
      </c>
      <c r="M27" s="19"/>
      <c r="N27" s="37" t="s">
        <v>152</v>
      </c>
      <c r="O27" s="74">
        <v>2</v>
      </c>
      <c r="P27" s="55">
        <f t="shared" si="5"/>
        <v>24</v>
      </c>
      <c r="Q27" s="55">
        <f t="shared" si="6"/>
        <v>30</v>
      </c>
      <c r="R27" s="56" t="s">
        <v>72</v>
      </c>
      <c r="S27" s="29">
        <f>COUNTIF($D$4:$J$144,"BI")</f>
        <v>3</v>
      </c>
      <c r="T27" s="29">
        <f t="shared" si="7"/>
        <v>21</v>
      </c>
    </row>
    <row r="28" spans="1:20">
      <c r="A28" s="5"/>
      <c r="D28" s="5"/>
      <c r="E28" s="5"/>
      <c r="F28" s="5"/>
      <c r="G28" s="5"/>
      <c r="H28" s="5"/>
      <c r="I28" s="5"/>
      <c r="J28" s="5"/>
      <c r="L28" s="19" t="s">
        <v>94</v>
      </c>
      <c r="M28" s="19"/>
      <c r="N28" s="37" t="s">
        <v>153</v>
      </c>
      <c r="O28" s="74">
        <v>2</v>
      </c>
      <c r="P28" s="55">
        <f t="shared" ref="P28:P40" si="9">Q28/1.25</f>
        <v>24</v>
      </c>
      <c r="Q28" s="55">
        <f t="shared" ref="Q28:Q40" si="10">O28*15</f>
        <v>30</v>
      </c>
      <c r="R28" s="56" t="s">
        <v>73</v>
      </c>
      <c r="S28" s="29">
        <f t="shared" ref="S28:S65" si="11">COUNTIF($D$4:$J$144,"TA")</f>
        <v>0</v>
      </c>
      <c r="T28" s="29">
        <f t="shared" ref="T28:T40" si="12">P28-S28</f>
        <v>24</v>
      </c>
    </row>
    <row r="29" spans="1:20">
      <c r="A29" s="5"/>
      <c r="D29" s="5"/>
      <c r="E29" s="5"/>
      <c r="F29" s="5"/>
      <c r="G29" s="5"/>
      <c r="H29" s="5"/>
      <c r="I29" s="5"/>
      <c r="J29" s="5"/>
      <c r="L29" s="64" t="s">
        <v>115</v>
      </c>
      <c r="M29" s="64"/>
      <c r="N29" s="65" t="s">
        <v>154</v>
      </c>
      <c r="O29" s="39">
        <v>2</v>
      </c>
      <c r="P29" s="55">
        <f t="shared" si="9"/>
        <v>24</v>
      </c>
      <c r="Q29" s="55">
        <f t="shared" si="10"/>
        <v>30</v>
      </c>
      <c r="R29" s="56" t="s">
        <v>131</v>
      </c>
      <c r="S29" s="29">
        <f t="shared" si="11"/>
        <v>0</v>
      </c>
      <c r="T29" s="29">
        <f t="shared" si="12"/>
        <v>24</v>
      </c>
    </row>
    <row r="30" spans="1:20">
      <c r="A30" s="5"/>
      <c r="D30" s="5"/>
      <c r="E30" s="5"/>
      <c r="F30" s="5"/>
      <c r="G30" s="5"/>
      <c r="H30" s="5"/>
      <c r="I30" s="5"/>
      <c r="J30" s="5"/>
      <c r="L30" s="19" t="s">
        <v>118</v>
      </c>
      <c r="M30" s="19"/>
      <c r="N30" s="36" t="s">
        <v>155</v>
      </c>
      <c r="O30" s="39">
        <v>2</v>
      </c>
      <c r="P30" s="55">
        <f t="shared" si="9"/>
        <v>24</v>
      </c>
      <c r="Q30" s="55">
        <f t="shared" si="10"/>
        <v>30</v>
      </c>
      <c r="R30" s="56" t="s">
        <v>63</v>
      </c>
      <c r="S30" s="29">
        <f t="shared" si="11"/>
        <v>0</v>
      </c>
      <c r="T30" s="29">
        <f t="shared" si="12"/>
        <v>24</v>
      </c>
    </row>
    <row r="31" spans="1:20">
      <c r="A31" s="5"/>
      <c r="D31" s="5"/>
      <c r="E31" s="5"/>
      <c r="F31" s="5"/>
      <c r="G31" s="5"/>
      <c r="H31" s="5"/>
      <c r="I31" s="5"/>
      <c r="J31" s="5"/>
      <c r="L31" s="19" t="s">
        <v>95</v>
      </c>
      <c r="M31" s="19"/>
      <c r="N31" s="36" t="s">
        <v>156</v>
      </c>
      <c r="O31" s="39">
        <v>2</v>
      </c>
      <c r="P31" s="55">
        <f t="shared" si="9"/>
        <v>24</v>
      </c>
      <c r="Q31" s="55">
        <f t="shared" si="10"/>
        <v>30</v>
      </c>
      <c r="R31" s="76" t="s">
        <v>189</v>
      </c>
      <c r="S31" s="29">
        <f t="shared" si="11"/>
        <v>0</v>
      </c>
      <c r="T31" s="29">
        <f t="shared" si="12"/>
        <v>24</v>
      </c>
    </row>
    <row r="32" spans="1:20">
      <c r="A32" s="5"/>
      <c r="D32" s="5"/>
      <c r="E32" s="5"/>
      <c r="F32" s="5"/>
      <c r="G32" s="5"/>
      <c r="H32" s="5"/>
      <c r="I32" s="5"/>
      <c r="J32" s="5"/>
      <c r="L32" s="19" t="s">
        <v>126</v>
      </c>
      <c r="M32" s="19"/>
      <c r="N32" s="36" t="s">
        <v>157</v>
      </c>
      <c r="O32" s="39">
        <v>2</v>
      </c>
      <c r="P32" s="55">
        <f t="shared" si="9"/>
        <v>24</v>
      </c>
      <c r="Q32" s="55">
        <f t="shared" si="10"/>
        <v>30</v>
      </c>
      <c r="R32" s="56" t="s">
        <v>59</v>
      </c>
      <c r="S32" s="29">
        <f t="shared" si="11"/>
        <v>0</v>
      </c>
      <c r="T32" s="29">
        <f t="shared" si="12"/>
        <v>24</v>
      </c>
    </row>
    <row r="33" spans="1:20">
      <c r="A33" s="5"/>
      <c r="D33" s="5"/>
      <c r="E33" s="5"/>
      <c r="F33" s="5"/>
      <c r="G33" s="5"/>
      <c r="H33" s="5"/>
      <c r="I33" s="5"/>
      <c r="J33" s="5"/>
      <c r="L33" s="19" t="s">
        <v>116</v>
      </c>
      <c r="M33" s="19"/>
      <c r="N33" s="36" t="s">
        <v>158</v>
      </c>
      <c r="O33" s="39">
        <v>2</v>
      </c>
      <c r="P33" s="55">
        <f t="shared" si="9"/>
        <v>24</v>
      </c>
      <c r="Q33" s="55">
        <f t="shared" si="10"/>
        <v>30</v>
      </c>
      <c r="R33" s="56" t="s">
        <v>60</v>
      </c>
      <c r="S33" s="29">
        <f t="shared" si="11"/>
        <v>0</v>
      </c>
      <c r="T33" s="29">
        <f t="shared" si="12"/>
        <v>24</v>
      </c>
    </row>
    <row r="34" spans="1:20">
      <c r="A34" s="5"/>
      <c r="D34" s="5"/>
      <c r="E34" s="5"/>
      <c r="F34" s="5"/>
      <c r="G34" s="5"/>
      <c r="H34" s="5"/>
      <c r="I34" s="5"/>
      <c r="J34" s="5"/>
      <c r="L34" s="19" t="s">
        <v>96</v>
      </c>
      <c r="M34" s="19"/>
      <c r="N34" s="36" t="s">
        <v>159</v>
      </c>
      <c r="O34" s="39">
        <v>2</v>
      </c>
      <c r="P34" s="55">
        <f t="shared" si="9"/>
        <v>24</v>
      </c>
      <c r="Q34" s="55">
        <f t="shared" si="10"/>
        <v>30</v>
      </c>
      <c r="R34" s="56" t="s">
        <v>27</v>
      </c>
      <c r="S34" s="29">
        <f t="shared" si="11"/>
        <v>0</v>
      </c>
      <c r="T34" s="29">
        <f t="shared" si="12"/>
        <v>24</v>
      </c>
    </row>
    <row r="35" spans="1:20">
      <c r="A35" s="5"/>
      <c r="D35" s="5"/>
      <c r="E35" s="5"/>
      <c r="F35" s="5"/>
      <c r="G35" s="5"/>
      <c r="H35" s="5"/>
      <c r="I35" s="5"/>
      <c r="J35" s="5"/>
      <c r="L35" s="19" t="s">
        <v>119</v>
      </c>
      <c r="M35" s="19"/>
      <c r="N35" s="36" t="s">
        <v>160</v>
      </c>
      <c r="O35" s="39">
        <v>2</v>
      </c>
      <c r="P35" s="55">
        <f t="shared" si="9"/>
        <v>24</v>
      </c>
      <c r="Q35" s="55">
        <f t="shared" si="10"/>
        <v>30</v>
      </c>
      <c r="R35" s="56" t="s">
        <v>30</v>
      </c>
      <c r="S35" s="29">
        <f t="shared" si="11"/>
        <v>0</v>
      </c>
      <c r="T35" s="29">
        <f t="shared" si="12"/>
        <v>24</v>
      </c>
    </row>
    <row r="36" spans="1:20">
      <c r="A36" s="5"/>
      <c r="D36" s="5"/>
      <c r="E36" s="5"/>
      <c r="F36" s="5"/>
      <c r="G36" s="5"/>
      <c r="H36" s="5"/>
      <c r="I36" s="5"/>
      <c r="J36" s="5"/>
      <c r="L36" s="19" t="s">
        <v>26</v>
      </c>
      <c r="M36" s="19"/>
      <c r="N36" s="36" t="s">
        <v>161</v>
      </c>
      <c r="O36" s="39">
        <v>2</v>
      </c>
      <c r="P36" s="55">
        <f t="shared" si="9"/>
        <v>24</v>
      </c>
      <c r="Q36" s="55">
        <f t="shared" si="10"/>
        <v>30</v>
      </c>
      <c r="R36" s="56" t="s">
        <v>186</v>
      </c>
      <c r="S36" s="29">
        <f t="shared" si="11"/>
        <v>0</v>
      </c>
      <c r="T36" s="29">
        <f t="shared" si="12"/>
        <v>24</v>
      </c>
    </row>
    <row r="37" spans="1:20">
      <c r="A37" s="5"/>
      <c r="D37" s="5"/>
      <c r="E37" s="5"/>
      <c r="F37" s="5"/>
      <c r="G37" s="5"/>
      <c r="H37" s="5"/>
      <c r="I37" s="5"/>
      <c r="J37" s="5"/>
      <c r="L37" s="19" t="s">
        <v>97</v>
      </c>
      <c r="M37" s="19"/>
      <c r="N37" s="36" t="s">
        <v>162</v>
      </c>
      <c r="O37" s="39">
        <v>2</v>
      </c>
      <c r="P37" s="55">
        <f t="shared" si="9"/>
        <v>24</v>
      </c>
      <c r="Q37" s="55">
        <f t="shared" si="10"/>
        <v>30</v>
      </c>
      <c r="R37" s="56" t="s">
        <v>74</v>
      </c>
      <c r="S37" s="29">
        <f t="shared" si="11"/>
        <v>0</v>
      </c>
      <c r="T37" s="29">
        <f t="shared" si="12"/>
        <v>24</v>
      </c>
    </row>
    <row r="38" spans="1:20">
      <c r="A38" s="5"/>
      <c r="D38" s="5"/>
      <c r="E38" s="5"/>
      <c r="F38" s="5"/>
      <c r="G38" s="5"/>
      <c r="H38" s="5"/>
      <c r="I38" s="5"/>
      <c r="J38" s="5"/>
      <c r="L38" s="19" t="s">
        <v>98</v>
      </c>
      <c r="M38" s="19"/>
      <c r="N38" s="36" t="s">
        <v>163</v>
      </c>
      <c r="O38" s="39">
        <v>2</v>
      </c>
      <c r="P38" s="55">
        <f t="shared" si="9"/>
        <v>24</v>
      </c>
      <c r="Q38" s="55">
        <f t="shared" si="10"/>
        <v>30</v>
      </c>
      <c r="R38" s="56" t="s">
        <v>135</v>
      </c>
      <c r="S38" s="29">
        <f t="shared" si="11"/>
        <v>0</v>
      </c>
      <c r="T38" s="29">
        <f t="shared" si="12"/>
        <v>24</v>
      </c>
    </row>
    <row r="39" spans="1:20">
      <c r="A39" s="5"/>
      <c r="D39" s="5"/>
      <c r="E39" s="5"/>
      <c r="F39" s="5"/>
      <c r="G39" s="5"/>
      <c r="H39" s="5"/>
      <c r="I39" s="5"/>
      <c r="J39" s="5"/>
      <c r="L39" s="19" t="s">
        <v>28</v>
      </c>
      <c r="M39" s="19"/>
      <c r="N39" s="36" t="s">
        <v>164</v>
      </c>
      <c r="O39" s="39">
        <v>2</v>
      </c>
      <c r="P39" s="55">
        <f t="shared" si="9"/>
        <v>24</v>
      </c>
      <c r="Q39" s="55">
        <f t="shared" si="10"/>
        <v>30</v>
      </c>
      <c r="R39" s="37" t="s">
        <v>185</v>
      </c>
      <c r="S39" s="29">
        <f t="shared" si="11"/>
        <v>0</v>
      </c>
      <c r="T39" s="29">
        <f t="shared" si="12"/>
        <v>24</v>
      </c>
    </row>
    <row r="40" spans="1:20">
      <c r="A40" s="5"/>
      <c r="D40" s="5"/>
      <c r="E40" s="5"/>
      <c r="F40" s="5"/>
      <c r="G40" s="5"/>
      <c r="H40" s="5"/>
      <c r="I40" s="5"/>
      <c r="J40" s="5"/>
      <c r="L40" s="79"/>
      <c r="M40" s="79"/>
      <c r="N40" s="80" t="s">
        <v>204</v>
      </c>
      <c r="O40" s="81">
        <v>2</v>
      </c>
      <c r="P40" s="82">
        <f t="shared" si="9"/>
        <v>24</v>
      </c>
      <c r="Q40" s="82">
        <f t="shared" si="10"/>
        <v>30</v>
      </c>
      <c r="R40" s="83" t="s">
        <v>211</v>
      </c>
      <c r="S40" s="84">
        <f t="shared" si="11"/>
        <v>0</v>
      </c>
      <c r="T40" s="84">
        <f t="shared" si="12"/>
        <v>24</v>
      </c>
    </row>
    <row r="41" spans="1:20">
      <c r="A41" s="5"/>
      <c r="D41" s="5"/>
      <c r="E41" s="5"/>
      <c r="F41" s="5"/>
      <c r="G41" s="5"/>
      <c r="H41" s="5"/>
      <c r="I41" s="5"/>
      <c r="J41" s="5"/>
      <c r="L41" s="19" t="s">
        <v>127</v>
      </c>
      <c r="M41" s="19"/>
      <c r="N41" s="42" t="s">
        <v>165</v>
      </c>
      <c r="O41" s="41">
        <v>2</v>
      </c>
      <c r="P41" s="55">
        <f t="shared" ref="P41:P60" si="13">Q41/1.25</f>
        <v>24</v>
      </c>
      <c r="Q41" s="55">
        <f t="shared" ref="Q41:Q60" si="14">O41*15</f>
        <v>30</v>
      </c>
      <c r="R41" s="56"/>
      <c r="S41" s="29">
        <f t="shared" si="11"/>
        <v>0</v>
      </c>
      <c r="T41" s="29">
        <f t="shared" ref="T41:T60" si="15">P41-S41</f>
        <v>24</v>
      </c>
    </row>
    <row r="42" spans="1:20">
      <c r="A42" s="5"/>
      <c r="D42" s="5"/>
      <c r="E42" s="5"/>
      <c r="F42" s="5"/>
      <c r="G42" s="5"/>
      <c r="H42" s="5"/>
      <c r="I42" s="5"/>
      <c r="J42" s="5"/>
      <c r="L42" s="19" t="s">
        <v>99</v>
      </c>
      <c r="M42" s="19"/>
      <c r="N42" s="42" t="s">
        <v>166</v>
      </c>
      <c r="O42" s="41">
        <v>2</v>
      </c>
      <c r="P42" s="55">
        <f t="shared" si="13"/>
        <v>24</v>
      </c>
      <c r="Q42" s="55">
        <f t="shared" si="14"/>
        <v>30</v>
      </c>
      <c r="R42" s="56"/>
      <c r="S42" s="29">
        <f t="shared" si="11"/>
        <v>0</v>
      </c>
      <c r="T42" s="29">
        <f t="shared" si="15"/>
        <v>24</v>
      </c>
    </row>
    <row r="43" spans="1:20">
      <c r="A43" s="5"/>
      <c r="D43" s="5"/>
      <c r="E43" s="5"/>
      <c r="F43" s="5"/>
      <c r="G43" s="5"/>
      <c r="H43" s="5"/>
      <c r="I43" s="5"/>
      <c r="J43" s="5"/>
      <c r="L43" s="19" t="s">
        <v>100</v>
      </c>
      <c r="M43" s="19"/>
      <c r="N43" s="42" t="s">
        <v>167</v>
      </c>
      <c r="O43" s="41">
        <v>2</v>
      </c>
      <c r="P43" s="55">
        <f t="shared" si="13"/>
        <v>24</v>
      </c>
      <c r="Q43" s="55">
        <f t="shared" si="14"/>
        <v>30</v>
      </c>
      <c r="R43" s="56"/>
      <c r="S43" s="29">
        <f t="shared" si="11"/>
        <v>0</v>
      </c>
      <c r="T43" s="29">
        <f t="shared" si="15"/>
        <v>24</v>
      </c>
    </row>
    <row r="44" spans="1:20">
      <c r="A44" s="5"/>
      <c r="D44" s="5"/>
      <c r="E44" s="5"/>
      <c r="F44" s="5"/>
      <c r="G44" s="5"/>
      <c r="H44" s="5"/>
      <c r="I44" s="5"/>
      <c r="J44" s="5"/>
      <c r="L44" s="19" t="s">
        <v>101</v>
      </c>
      <c r="M44" s="19"/>
      <c r="N44" s="42" t="s">
        <v>168</v>
      </c>
      <c r="O44" s="41">
        <v>2</v>
      </c>
      <c r="P44" s="55">
        <f t="shared" si="13"/>
        <v>24</v>
      </c>
      <c r="Q44" s="55">
        <f t="shared" si="14"/>
        <v>30</v>
      </c>
      <c r="R44" s="56"/>
      <c r="S44" s="29">
        <f t="shared" si="11"/>
        <v>0</v>
      </c>
      <c r="T44" s="29">
        <f t="shared" si="15"/>
        <v>24</v>
      </c>
    </row>
    <row r="45" spans="1:20">
      <c r="A45" s="5"/>
      <c r="D45" s="5"/>
      <c r="E45" s="5"/>
      <c r="F45" s="5"/>
      <c r="G45" s="5"/>
      <c r="H45" s="5"/>
      <c r="I45" s="5"/>
      <c r="J45" s="5"/>
      <c r="L45" s="19" t="s">
        <v>102</v>
      </c>
      <c r="M45" s="19"/>
      <c r="N45" s="42" t="s">
        <v>169</v>
      </c>
      <c r="O45" s="39">
        <v>2</v>
      </c>
      <c r="P45" s="55">
        <f t="shared" si="13"/>
        <v>24</v>
      </c>
      <c r="Q45" s="55">
        <f t="shared" si="14"/>
        <v>30</v>
      </c>
      <c r="R45" s="56" t="s">
        <v>182</v>
      </c>
      <c r="S45" s="29">
        <f t="shared" si="11"/>
        <v>0</v>
      </c>
      <c r="T45" s="29">
        <f t="shared" si="15"/>
        <v>24</v>
      </c>
    </row>
    <row r="46" spans="1:20">
      <c r="A46" s="5"/>
      <c r="D46" s="5"/>
      <c r="E46" s="5"/>
      <c r="F46" s="5"/>
      <c r="G46" s="5"/>
      <c r="H46" s="5"/>
      <c r="I46" s="5"/>
      <c r="J46" s="5"/>
      <c r="L46" s="19" t="s">
        <v>103</v>
      </c>
      <c r="M46" s="19"/>
      <c r="N46" s="42" t="s">
        <v>170</v>
      </c>
      <c r="O46" s="39">
        <v>2</v>
      </c>
      <c r="P46" s="55">
        <f t="shared" si="13"/>
        <v>24</v>
      </c>
      <c r="Q46" s="55">
        <f t="shared" si="14"/>
        <v>30</v>
      </c>
      <c r="R46" s="56" t="s">
        <v>76</v>
      </c>
      <c r="S46" s="29">
        <f t="shared" si="11"/>
        <v>0</v>
      </c>
      <c r="T46" s="29">
        <f t="shared" si="15"/>
        <v>24</v>
      </c>
    </row>
    <row r="47" spans="1:20">
      <c r="A47" s="5"/>
      <c r="D47" s="5"/>
      <c r="E47" s="5"/>
      <c r="F47" s="5"/>
      <c r="G47" s="5"/>
      <c r="H47" s="5"/>
      <c r="I47" s="5"/>
      <c r="J47" s="5"/>
      <c r="L47" s="19" t="s">
        <v>104</v>
      </c>
      <c r="M47" s="19"/>
      <c r="N47" s="36" t="s">
        <v>171</v>
      </c>
      <c r="O47" s="39">
        <v>2</v>
      </c>
      <c r="P47" s="55">
        <f t="shared" si="13"/>
        <v>24</v>
      </c>
      <c r="Q47" s="55">
        <f t="shared" si="14"/>
        <v>30</v>
      </c>
      <c r="R47" s="56" t="s">
        <v>72</v>
      </c>
      <c r="S47" s="29">
        <f t="shared" si="11"/>
        <v>0</v>
      </c>
      <c r="T47" s="29">
        <f t="shared" si="15"/>
        <v>24</v>
      </c>
    </row>
    <row r="48" spans="1:20">
      <c r="A48" s="5"/>
      <c r="D48" s="5"/>
      <c r="E48" s="5"/>
      <c r="F48" s="5"/>
      <c r="G48" s="5"/>
      <c r="H48" s="5"/>
      <c r="I48" s="5"/>
      <c r="J48" s="5"/>
      <c r="L48" s="19" t="s">
        <v>105</v>
      </c>
      <c r="M48" s="19"/>
      <c r="N48" s="36" t="s">
        <v>172</v>
      </c>
      <c r="O48" s="39">
        <v>2</v>
      </c>
      <c r="P48" s="55">
        <f t="shared" si="13"/>
        <v>24</v>
      </c>
      <c r="Q48" s="55">
        <f t="shared" si="14"/>
        <v>30</v>
      </c>
      <c r="R48" s="56" t="s">
        <v>77</v>
      </c>
      <c r="S48" s="29">
        <f t="shared" si="11"/>
        <v>0</v>
      </c>
      <c r="T48" s="29">
        <f t="shared" si="15"/>
        <v>24</v>
      </c>
    </row>
    <row r="49" spans="1:20">
      <c r="A49" s="5"/>
      <c r="D49" s="5"/>
      <c r="E49" s="5"/>
      <c r="F49" s="5"/>
      <c r="G49" s="5"/>
      <c r="H49" s="5"/>
      <c r="I49" s="5"/>
      <c r="J49" s="5"/>
      <c r="L49" s="19" t="s">
        <v>128</v>
      </c>
      <c r="M49" s="19"/>
      <c r="N49" s="36" t="s">
        <v>173</v>
      </c>
      <c r="O49" s="39">
        <v>2</v>
      </c>
      <c r="P49" s="55">
        <f t="shared" si="13"/>
        <v>24</v>
      </c>
      <c r="Q49" s="55">
        <f t="shared" si="14"/>
        <v>30</v>
      </c>
      <c r="R49" s="56" t="s">
        <v>78</v>
      </c>
      <c r="S49" s="29">
        <f t="shared" si="11"/>
        <v>0</v>
      </c>
      <c r="T49" s="29">
        <f t="shared" si="15"/>
        <v>24</v>
      </c>
    </row>
    <row r="50" spans="1:20">
      <c r="A50" s="5"/>
      <c r="D50" s="5"/>
      <c r="E50" s="5"/>
      <c r="F50" s="5"/>
      <c r="G50" s="5"/>
      <c r="H50" s="5"/>
      <c r="I50" s="5"/>
      <c r="J50" s="5"/>
      <c r="L50" s="19"/>
      <c r="M50" s="19"/>
      <c r="N50" s="36" t="s">
        <v>174</v>
      </c>
      <c r="O50" s="39">
        <v>2</v>
      </c>
      <c r="P50" s="55">
        <f t="shared" si="13"/>
        <v>24</v>
      </c>
      <c r="Q50" s="55">
        <f t="shared" si="14"/>
        <v>30</v>
      </c>
      <c r="R50" s="56" t="s">
        <v>79</v>
      </c>
      <c r="S50" s="29">
        <f t="shared" si="11"/>
        <v>0</v>
      </c>
      <c r="T50" s="29">
        <f t="shared" si="15"/>
        <v>24</v>
      </c>
    </row>
    <row r="51" spans="1:20">
      <c r="A51" s="5"/>
      <c r="D51" s="5"/>
      <c r="E51" s="5"/>
      <c r="F51" s="5"/>
      <c r="G51" s="5"/>
      <c r="H51" s="5"/>
      <c r="I51" s="5"/>
      <c r="J51" s="5"/>
      <c r="L51" s="32"/>
      <c r="M51" s="32" t="s">
        <v>57</v>
      </c>
      <c r="N51" s="43" t="s">
        <v>45</v>
      </c>
      <c r="O51" s="44">
        <v>3</v>
      </c>
      <c r="P51" s="57">
        <f t="shared" si="13"/>
        <v>36</v>
      </c>
      <c r="Q51" s="57">
        <f t="shared" si="14"/>
        <v>45</v>
      </c>
      <c r="R51" s="38" t="s">
        <v>58</v>
      </c>
      <c r="S51" s="30">
        <f t="shared" si="11"/>
        <v>0</v>
      </c>
      <c r="T51" s="30">
        <f t="shared" si="15"/>
        <v>36</v>
      </c>
    </row>
    <row r="52" spans="1:20">
      <c r="A52" s="5"/>
      <c r="D52" s="5"/>
      <c r="E52" s="5"/>
      <c r="F52" s="5"/>
      <c r="G52" s="5"/>
      <c r="H52" s="5"/>
      <c r="I52" s="5"/>
      <c r="J52" s="5"/>
      <c r="L52" s="19"/>
      <c r="M52" s="19" t="s">
        <v>57</v>
      </c>
      <c r="N52" s="45" t="s">
        <v>56</v>
      </c>
      <c r="O52" s="46">
        <v>4</v>
      </c>
      <c r="P52" s="55">
        <f t="shared" si="13"/>
        <v>48</v>
      </c>
      <c r="Q52" s="55">
        <f t="shared" si="14"/>
        <v>60</v>
      </c>
      <c r="R52" s="38"/>
      <c r="S52" s="29">
        <f t="shared" si="11"/>
        <v>0</v>
      </c>
      <c r="T52" s="29">
        <f t="shared" si="15"/>
        <v>48</v>
      </c>
    </row>
    <row r="53" spans="1:20">
      <c r="A53" s="5"/>
      <c r="D53" s="5"/>
      <c r="E53" s="5"/>
      <c r="F53" s="5"/>
      <c r="G53" s="5"/>
      <c r="H53" s="5"/>
      <c r="I53" s="5"/>
      <c r="J53" s="5"/>
      <c r="L53" s="19" t="s">
        <v>126</v>
      </c>
      <c r="M53" s="19" t="s">
        <v>57</v>
      </c>
      <c r="N53" s="47" t="s">
        <v>39</v>
      </c>
      <c r="O53" s="46">
        <v>3</v>
      </c>
      <c r="P53" s="55">
        <f t="shared" si="13"/>
        <v>36</v>
      </c>
      <c r="Q53" s="55">
        <f t="shared" si="14"/>
        <v>45</v>
      </c>
      <c r="R53" s="38" t="s">
        <v>59</v>
      </c>
      <c r="S53" s="29">
        <f t="shared" si="11"/>
        <v>0</v>
      </c>
      <c r="T53" s="29">
        <f t="shared" si="15"/>
        <v>36</v>
      </c>
    </row>
    <row r="54" spans="1:20">
      <c r="A54" s="5"/>
      <c r="D54" s="5"/>
      <c r="E54" s="5"/>
      <c r="F54" s="5"/>
      <c r="G54" s="5"/>
      <c r="H54" s="5"/>
      <c r="I54" s="5"/>
      <c r="J54" s="5"/>
      <c r="L54" s="19" t="s">
        <v>116</v>
      </c>
      <c r="M54" s="19" t="s">
        <v>57</v>
      </c>
      <c r="N54" s="47" t="s">
        <v>40</v>
      </c>
      <c r="O54" s="46">
        <v>3</v>
      </c>
      <c r="P54" s="55">
        <f t="shared" si="13"/>
        <v>36</v>
      </c>
      <c r="Q54" s="55">
        <f t="shared" si="14"/>
        <v>45</v>
      </c>
      <c r="R54" s="38" t="s">
        <v>60</v>
      </c>
      <c r="S54" s="29">
        <f t="shared" si="11"/>
        <v>0</v>
      </c>
      <c r="T54" s="29">
        <f t="shared" si="15"/>
        <v>36</v>
      </c>
    </row>
    <row r="55" spans="1:20">
      <c r="A55" s="5"/>
      <c r="D55" s="5"/>
      <c r="E55" s="5"/>
      <c r="F55" s="5"/>
      <c r="G55" s="5"/>
      <c r="H55" s="5"/>
      <c r="I55" s="5"/>
      <c r="J55" s="5"/>
      <c r="L55" s="19" t="s">
        <v>106</v>
      </c>
      <c r="M55" s="19" t="s">
        <v>57</v>
      </c>
      <c r="N55" s="47" t="s">
        <v>46</v>
      </c>
      <c r="O55" s="46">
        <v>3</v>
      </c>
      <c r="P55" s="55">
        <f t="shared" si="13"/>
        <v>36</v>
      </c>
      <c r="Q55" s="55">
        <f t="shared" si="14"/>
        <v>45</v>
      </c>
      <c r="R55" s="38" t="s">
        <v>61</v>
      </c>
      <c r="S55" s="29">
        <f t="shared" si="11"/>
        <v>0</v>
      </c>
      <c r="T55" s="29">
        <f t="shared" si="15"/>
        <v>36</v>
      </c>
    </row>
    <row r="56" spans="1:20">
      <c r="A56" s="5"/>
      <c r="D56" s="5"/>
      <c r="E56" s="5"/>
      <c r="F56" s="5"/>
      <c r="G56" s="5"/>
      <c r="H56" s="5"/>
      <c r="I56" s="5"/>
      <c r="J56" s="5"/>
      <c r="L56" s="19" t="s">
        <v>107</v>
      </c>
      <c r="M56" s="19" t="s">
        <v>57</v>
      </c>
      <c r="N56" s="47" t="s">
        <v>47</v>
      </c>
      <c r="O56" s="46">
        <v>3</v>
      </c>
      <c r="P56" s="55">
        <f t="shared" si="13"/>
        <v>36</v>
      </c>
      <c r="Q56" s="55">
        <f t="shared" si="14"/>
        <v>45</v>
      </c>
      <c r="R56" s="38" t="s">
        <v>61</v>
      </c>
      <c r="S56" s="29">
        <f t="shared" si="11"/>
        <v>0</v>
      </c>
      <c r="T56" s="29">
        <f t="shared" si="15"/>
        <v>36</v>
      </c>
    </row>
    <row r="57" spans="1:20">
      <c r="A57" s="5"/>
      <c r="D57" s="5"/>
      <c r="E57" s="5"/>
      <c r="F57" s="5"/>
      <c r="G57" s="5"/>
      <c r="H57" s="5"/>
      <c r="I57" s="5"/>
      <c r="J57" s="5"/>
      <c r="L57" s="19" t="s">
        <v>108</v>
      </c>
      <c r="M57" s="19" t="s">
        <v>57</v>
      </c>
      <c r="N57" s="45" t="s">
        <v>48</v>
      </c>
      <c r="O57" s="46">
        <v>3</v>
      </c>
      <c r="P57" s="55">
        <f t="shared" si="13"/>
        <v>36</v>
      </c>
      <c r="Q57" s="55">
        <f t="shared" si="14"/>
        <v>45</v>
      </c>
      <c r="R57" s="38" t="s">
        <v>62</v>
      </c>
      <c r="S57" s="29">
        <f t="shared" si="11"/>
        <v>0</v>
      </c>
      <c r="T57" s="29">
        <f t="shared" si="15"/>
        <v>36</v>
      </c>
    </row>
    <row r="58" spans="1:20">
      <c r="A58" s="5"/>
      <c r="D58" s="5"/>
      <c r="E58" s="5"/>
      <c r="F58" s="5"/>
      <c r="G58" s="5"/>
      <c r="H58" s="5"/>
      <c r="I58" s="5"/>
      <c r="J58" s="5"/>
      <c r="L58" s="19" t="s">
        <v>118</v>
      </c>
      <c r="M58" s="19" t="s">
        <v>57</v>
      </c>
      <c r="N58" s="45" t="s">
        <v>38</v>
      </c>
      <c r="O58" s="46">
        <v>3</v>
      </c>
      <c r="P58" s="55">
        <f t="shared" si="13"/>
        <v>36</v>
      </c>
      <c r="Q58" s="55">
        <f t="shared" si="14"/>
        <v>45</v>
      </c>
      <c r="R58" s="38" t="s">
        <v>63</v>
      </c>
      <c r="S58" s="29">
        <f t="shared" si="11"/>
        <v>0</v>
      </c>
      <c r="T58" s="29">
        <f t="shared" si="15"/>
        <v>36</v>
      </c>
    </row>
    <row r="59" spans="1:20">
      <c r="A59" s="5"/>
      <c r="D59" s="5"/>
      <c r="E59" s="5"/>
      <c r="F59" s="5"/>
      <c r="G59" s="5"/>
      <c r="H59" s="5"/>
      <c r="I59" s="5"/>
      <c r="J59" s="5"/>
      <c r="L59" s="19" t="s">
        <v>115</v>
      </c>
      <c r="M59" s="19" t="s">
        <v>57</v>
      </c>
      <c r="N59" s="45" t="s">
        <v>37</v>
      </c>
      <c r="O59" s="46">
        <v>3</v>
      </c>
      <c r="P59" s="55">
        <f t="shared" si="13"/>
        <v>36</v>
      </c>
      <c r="Q59" s="55">
        <f t="shared" si="14"/>
        <v>45</v>
      </c>
      <c r="R59" s="38" t="s">
        <v>131</v>
      </c>
      <c r="S59" s="29">
        <f t="shared" si="11"/>
        <v>0</v>
      </c>
      <c r="T59" s="29">
        <f t="shared" si="15"/>
        <v>36</v>
      </c>
    </row>
    <row r="60" spans="1:20">
      <c r="A60" s="5"/>
      <c r="D60" s="5"/>
      <c r="E60" s="5"/>
      <c r="F60" s="5"/>
      <c r="G60" s="5"/>
      <c r="H60" s="5"/>
      <c r="I60" s="5"/>
      <c r="J60" s="5"/>
      <c r="L60" s="19" t="s">
        <v>109</v>
      </c>
      <c r="M60" s="19" t="s">
        <v>57</v>
      </c>
      <c r="N60" s="45" t="s">
        <v>49</v>
      </c>
      <c r="O60" s="46">
        <v>3</v>
      </c>
      <c r="P60" s="55">
        <f t="shared" si="13"/>
        <v>36</v>
      </c>
      <c r="Q60" s="55">
        <f t="shared" si="14"/>
        <v>45</v>
      </c>
      <c r="R60" s="38" t="s">
        <v>61</v>
      </c>
      <c r="S60" s="29">
        <f t="shared" si="11"/>
        <v>0</v>
      </c>
      <c r="T60" s="29">
        <f t="shared" si="15"/>
        <v>36</v>
      </c>
    </row>
    <row r="61" spans="1:20">
      <c r="A61" s="5"/>
      <c r="D61" s="5"/>
      <c r="E61" s="5"/>
      <c r="F61" s="5"/>
      <c r="G61" s="5"/>
      <c r="H61" s="5"/>
      <c r="I61" s="5"/>
      <c r="J61" s="5"/>
      <c r="L61" s="19" t="s">
        <v>110</v>
      </c>
      <c r="M61" s="19" t="s">
        <v>57</v>
      </c>
      <c r="N61" s="47" t="s">
        <v>50</v>
      </c>
      <c r="O61" s="46">
        <v>3</v>
      </c>
      <c r="P61" s="55">
        <f t="shared" ref="P61:P65" si="16">Q61/1.25</f>
        <v>36</v>
      </c>
      <c r="Q61" s="55">
        <f t="shared" ref="Q61:Q65" si="17">O61*15</f>
        <v>45</v>
      </c>
      <c r="R61" s="38" t="s">
        <v>60</v>
      </c>
      <c r="S61" s="29">
        <f t="shared" si="11"/>
        <v>0</v>
      </c>
      <c r="T61" s="29">
        <f t="shared" ref="T61:T65" si="18">P61-S61</f>
        <v>36</v>
      </c>
    </row>
    <row r="62" spans="1:20">
      <c r="A62" s="5"/>
      <c r="D62" s="5"/>
      <c r="E62" s="5"/>
      <c r="F62" s="5"/>
      <c r="G62" s="5"/>
      <c r="H62" s="5"/>
      <c r="I62" s="5"/>
      <c r="J62" s="5"/>
      <c r="L62" s="19" t="s">
        <v>111</v>
      </c>
      <c r="M62" s="19" t="s">
        <v>57</v>
      </c>
      <c r="N62" s="47" t="s">
        <v>51</v>
      </c>
      <c r="O62" s="46">
        <v>3</v>
      </c>
      <c r="P62" s="55">
        <f t="shared" si="16"/>
        <v>36</v>
      </c>
      <c r="Q62" s="55">
        <f t="shared" si="17"/>
        <v>45</v>
      </c>
      <c r="R62" s="58" t="s">
        <v>64</v>
      </c>
      <c r="S62" s="29">
        <f t="shared" si="11"/>
        <v>0</v>
      </c>
      <c r="T62" s="29">
        <f t="shared" si="18"/>
        <v>36</v>
      </c>
    </row>
    <row r="63" spans="1:20">
      <c r="A63" s="5"/>
      <c r="D63" s="5"/>
      <c r="E63" s="5"/>
      <c r="F63" s="5"/>
      <c r="G63" s="5"/>
      <c r="H63" s="5"/>
      <c r="I63" s="5"/>
      <c r="J63" s="5"/>
      <c r="L63" s="19" t="s">
        <v>112</v>
      </c>
      <c r="M63" s="19" t="s">
        <v>57</v>
      </c>
      <c r="N63" s="47" t="s">
        <v>52</v>
      </c>
      <c r="O63" s="48">
        <v>3</v>
      </c>
      <c r="P63" s="55">
        <f t="shared" si="16"/>
        <v>36</v>
      </c>
      <c r="Q63" s="55">
        <f t="shared" si="17"/>
        <v>45</v>
      </c>
      <c r="R63" s="59" t="s">
        <v>64</v>
      </c>
      <c r="S63" s="29">
        <f t="shared" si="11"/>
        <v>0</v>
      </c>
      <c r="T63" s="29">
        <f t="shared" si="18"/>
        <v>36</v>
      </c>
    </row>
    <row r="64" spans="1:20">
      <c r="A64" s="5"/>
      <c r="D64" s="5"/>
      <c r="E64" s="5"/>
      <c r="F64" s="5"/>
      <c r="G64" s="5"/>
      <c r="H64" s="5"/>
      <c r="I64" s="5"/>
      <c r="J64" s="5"/>
      <c r="L64" s="19" t="s">
        <v>113</v>
      </c>
      <c r="M64" s="19" t="s">
        <v>57</v>
      </c>
      <c r="N64" s="45" t="s">
        <v>53</v>
      </c>
      <c r="O64" s="46">
        <v>3</v>
      </c>
      <c r="P64" s="55">
        <f t="shared" si="16"/>
        <v>36</v>
      </c>
      <c r="Q64" s="55">
        <f t="shared" si="17"/>
        <v>45</v>
      </c>
      <c r="R64" s="38" t="s">
        <v>132</v>
      </c>
      <c r="S64" s="29">
        <f t="shared" si="11"/>
        <v>0</v>
      </c>
      <c r="T64" s="29">
        <f t="shared" si="18"/>
        <v>36</v>
      </c>
    </row>
    <row r="65" spans="1:20">
      <c r="A65" s="5"/>
      <c r="D65" s="5"/>
      <c r="E65" s="5"/>
      <c r="F65" s="5"/>
      <c r="G65" s="5"/>
      <c r="H65" s="5"/>
      <c r="I65" s="5"/>
      <c r="J65" s="5"/>
      <c r="L65" s="19" t="s">
        <v>103</v>
      </c>
      <c r="M65" s="19" t="s">
        <v>57</v>
      </c>
      <c r="N65" s="45" t="s">
        <v>54</v>
      </c>
      <c r="O65" s="46">
        <v>3</v>
      </c>
      <c r="P65" s="55">
        <f t="shared" si="16"/>
        <v>36</v>
      </c>
      <c r="Q65" s="55">
        <f t="shared" si="17"/>
        <v>45</v>
      </c>
      <c r="R65" s="38" t="s">
        <v>133</v>
      </c>
      <c r="S65" s="29">
        <f t="shared" si="11"/>
        <v>0</v>
      </c>
      <c r="T65" s="29">
        <f t="shared" si="18"/>
        <v>36</v>
      </c>
    </row>
    <row r="66" spans="1:20">
      <c r="A66" s="5"/>
      <c r="D66" s="5"/>
      <c r="E66" s="5"/>
      <c r="F66" s="5"/>
      <c r="G66" s="5"/>
      <c r="H66" s="5"/>
      <c r="I66" s="5"/>
      <c r="J66" s="5"/>
      <c r="L66" s="49"/>
      <c r="M66" s="49"/>
      <c r="O66" s="51"/>
      <c r="P66" s="52"/>
      <c r="Q66" s="52"/>
      <c r="R66" s="50"/>
      <c r="S66" s="52"/>
      <c r="T66" s="52"/>
    </row>
    <row r="67" spans="1:20">
      <c r="A67" s="5"/>
      <c r="D67" s="5"/>
      <c r="E67" s="5"/>
      <c r="F67" s="5"/>
      <c r="G67" s="5"/>
      <c r="H67" s="5"/>
      <c r="I67" s="5"/>
      <c r="J67" s="5"/>
      <c r="L67" s="19"/>
      <c r="M67" s="60"/>
      <c r="N67" s="60" t="s">
        <v>31</v>
      </c>
      <c r="O67" s="60">
        <f>SUM(O3:O65)</f>
        <v>141</v>
      </c>
      <c r="P67" s="60">
        <f>SUM(P3:P65)</f>
        <v>1692</v>
      </c>
      <c r="Q67" s="60">
        <f>SUM(Q3:Q65)</f>
        <v>2115</v>
      </c>
      <c r="R67" s="60"/>
      <c r="S67" s="60">
        <f>SUM(S3:S65)</f>
        <v>22</v>
      </c>
      <c r="T67" s="60">
        <f>SUM(T3:T65)</f>
        <v>1670</v>
      </c>
    </row>
    <row r="68" spans="1:20">
      <c r="A68" s="5"/>
      <c r="D68" s="5"/>
      <c r="E68" s="5"/>
      <c r="F68" s="5"/>
      <c r="G68" s="5"/>
      <c r="H68" s="5"/>
      <c r="I68" s="5"/>
      <c r="J68" s="5"/>
      <c r="L68" s="2"/>
      <c r="M68" s="2"/>
      <c r="N68" s="2"/>
      <c r="O68" s="2"/>
      <c r="R68" s="2"/>
    </row>
    <row r="69" spans="1:20">
      <c r="L69" s="2"/>
      <c r="M69" s="2"/>
      <c r="N69" s="2"/>
      <c r="O69" s="2"/>
      <c r="R69" s="2"/>
    </row>
    <row r="70" spans="1:20">
      <c r="L70" s="49"/>
      <c r="M70" s="49"/>
      <c r="O70" s="51"/>
      <c r="P70" s="52"/>
      <c r="Q70" s="52"/>
      <c r="R70" s="50"/>
      <c r="S70" s="52"/>
      <c r="T70" s="52"/>
    </row>
    <row r="71" spans="1:20">
      <c r="L71" s="49"/>
      <c r="M71" s="49"/>
      <c r="O71" s="51"/>
      <c r="P71" s="52"/>
      <c r="Q71" s="52"/>
      <c r="R71" s="50"/>
      <c r="S71" s="52"/>
      <c r="T71" s="52"/>
    </row>
    <row r="72" spans="1:20">
      <c r="L72" s="49"/>
      <c r="M72" s="49"/>
      <c r="O72" s="51"/>
      <c r="P72" s="52"/>
      <c r="Q72" s="52"/>
      <c r="R72" s="50"/>
      <c r="S72" s="52"/>
      <c r="T72" s="52"/>
    </row>
    <row r="73" spans="1:20">
      <c r="L73" s="49"/>
      <c r="M73" s="49"/>
      <c r="O73" s="51"/>
      <c r="P73" s="52"/>
      <c r="Q73" s="52"/>
      <c r="R73" s="50"/>
      <c r="S73" s="52"/>
      <c r="T73" s="52"/>
    </row>
    <row r="74" spans="1:20">
      <c r="L74" s="49"/>
      <c r="M74" s="49"/>
      <c r="O74" s="51"/>
      <c r="P74" s="52"/>
      <c r="Q74" s="52"/>
      <c r="R74" s="50"/>
      <c r="S74" s="52"/>
      <c r="T74" s="52"/>
    </row>
    <row r="75" spans="1:20">
      <c r="L75" s="49"/>
      <c r="M75" s="49"/>
      <c r="O75" s="51"/>
      <c r="P75" s="52"/>
      <c r="Q75" s="52"/>
      <c r="R75" s="50"/>
      <c r="S75" s="52"/>
      <c r="T75" s="52"/>
    </row>
    <row r="76" spans="1:20">
      <c r="L76" s="49"/>
      <c r="M76" s="49"/>
      <c r="O76" s="51"/>
      <c r="P76" s="52"/>
      <c r="Q76" s="52"/>
      <c r="R76" s="50"/>
      <c r="S76" s="52"/>
      <c r="T76" s="52"/>
    </row>
    <row r="77" spans="1:20">
      <c r="L77" s="49"/>
      <c r="M77" s="49"/>
      <c r="O77" s="51"/>
      <c r="P77" s="52"/>
      <c r="Q77" s="52"/>
      <c r="R77" s="50"/>
      <c r="S77" s="52"/>
      <c r="T77" s="52"/>
    </row>
    <row r="78" spans="1:20">
      <c r="L78" s="49"/>
      <c r="M78" s="49"/>
      <c r="O78" s="51"/>
      <c r="P78" s="52"/>
      <c r="Q78" s="52"/>
      <c r="R78" s="50"/>
      <c r="S78" s="52"/>
      <c r="T78" s="52"/>
    </row>
    <row r="79" spans="1:20">
      <c r="L79" s="49"/>
      <c r="M79" s="49"/>
      <c r="O79" s="51"/>
      <c r="P79" s="52"/>
      <c r="Q79" s="52"/>
      <c r="R79" s="50"/>
      <c r="S79" s="52"/>
      <c r="T79" s="52"/>
    </row>
    <row r="80" spans="1:20">
      <c r="L80" s="49"/>
      <c r="M80" s="49"/>
      <c r="O80" s="51"/>
      <c r="P80" s="52"/>
      <c r="Q80" s="52"/>
      <c r="R80" s="50"/>
      <c r="S80" s="52"/>
      <c r="T80" s="52"/>
    </row>
    <row r="81" spans="12:20">
      <c r="L81" s="49"/>
      <c r="M81" s="49"/>
      <c r="O81" s="51"/>
      <c r="P81" s="52"/>
      <c r="Q81" s="52"/>
      <c r="R81" s="50"/>
      <c r="S81" s="52"/>
      <c r="T81" s="52"/>
    </row>
    <row r="82" spans="12:20">
      <c r="L82" s="49"/>
      <c r="M82" s="49"/>
      <c r="O82" s="51"/>
      <c r="P82" s="52"/>
      <c r="Q82" s="52"/>
      <c r="R82" s="50"/>
      <c r="S82" s="52"/>
      <c r="T82" s="52"/>
    </row>
    <row r="83" spans="12:20">
      <c r="L83" s="49"/>
      <c r="M83" s="49"/>
      <c r="O83" s="51"/>
      <c r="P83" s="52"/>
      <c r="Q83" s="52"/>
      <c r="R83" s="50"/>
      <c r="S83" s="52"/>
      <c r="T83" s="52"/>
    </row>
    <row r="84" spans="12:20">
      <c r="L84" s="49"/>
      <c r="M84" s="49"/>
      <c r="O84" s="51"/>
      <c r="P84" s="52"/>
      <c r="Q84" s="52"/>
      <c r="R84" s="50"/>
      <c r="S84" s="52"/>
      <c r="T84" s="52"/>
    </row>
    <row r="85" spans="12:20">
      <c r="L85" s="49"/>
      <c r="M85" s="49"/>
      <c r="O85" s="51"/>
      <c r="P85" s="52"/>
      <c r="Q85" s="52"/>
      <c r="R85" s="50"/>
      <c r="S85" s="52"/>
      <c r="T85" s="52"/>
    </row>
    <row r="86" spans="12:20">
      <c r="L86" s="49"/>
      <c r="M86" s="49"/>
      <c r="O86" s="51"/>
      <c r="P86" s="52"/>
      <c r="Q86" s="52"/>
      <c r="R86" s="50"/>
      <c r="S86" s="52"/>
      <c r="T86" s="52"/>
    </row>
    <row r="87" spans="12:20">
      <c r="L87" s="49"/>
      <c r="M87" s="49"/>
      <c r="O87" s="51"/>
      <c r="P87" s="52"/>
      <c r="Q87" s="52"/>
      <c r="R87" s="50"/>
      <c r="S87" s="52"/>
      <c r="T87" s="52"/>
    </row>
    <row r="88" spans="12:20">
      <c r="L88" s="49"/>
      <c r="M88" s="49"/>
      <c r="O88" s="51"/>
      <c r="P88" s="52"/>
      <c r="Q88" s="52"/>
      <c r="R88" s="50"/>
      <c r="S88" s="52"/>
      <c r="T88" s="52"/>
    </row>
    <row r="89" spans="12:20">
      <c r="L89" s="49"/>
      <c r="M89" s="49"/>
      <c r="O89" s="51"/>
      <c r="P89" s="52"/>
      <c r="Q89" s="52"/>
      <c r="R89" s="50"/>
      <c r="S89" s="52"/>
      <c r="T89" s="52"/>
    </row>
    <row r="90" spans="12:20">
      <c r="L90" s="49"/>
      <c r="M90" s="49"/>
      <c r="O90" s="51"/>
      <c r="P90" s="52"/>
      <c r="Q90" s="52"/>
      <c r="R90" s="50"/>
      <c r="S90" s="52"/>
      <c r="T90" s="52"/>
    </row>
    <row r="91" spans="12:20">
      <c r="L91" s="49"/>
      <c r="M91" s="49"/>
      <c r="O91" s="51"/>
      <c r="P91" s="52"/>
      <c r="Q91" s="52"/>
      <c r="R91" s="50"/>
      <c r="S91" s="52"/>
      <c r="T91" s="52"/>
    </row>
    <row r="92" spans="12:20">
      <c r="L92" s="49"/>
      <c r="M92" s="49"/>
      <c r="O92" s="51"/>
      <c r="P92" s="52"/>
      <c r="Q92" s="52"/>
      <c r="R92" s="50"/>
      <c r="S92" s="52"/>
      <c r="T92" s="52"/>
    </row>
    <row r="93" spans="12:20">
      <c r="L93" s="49"/>
      <c r="M93" s="49"/>
      <c r="O93" s="51"/>
      <c r="P93" s="52"/>
      <c r="Q93" s="52"/>
      <c r="R93" s="50"/>
      <c r="S93" s="52"/>
      <c r="T93" s="52"/>
    </row>
    <row r="94" spans="12:20">
      <c r="L94" s="49"/>
      <c r="M94" s="49"/>
      <c r="O94" s="51"/>
      <c r="P94" s="52"/>
      <c r="Q94" s="52"/>
      <c r="R94" s="50"/>
      <c r="S94" s="52"/>
      <c r="T94" s="52"/>
    </row>
    <row r="95" spans="12:20">
      <c r="L95" s="49"/>
      <c r="M95" s="49"/>
      <c r="O95" s="51"/>
      <c r="P95" s="52"/>
      <c r="Q95" s="52"/>
      <c r="R95" s="50"/>
      <c r="S95" s="52"/>
      <c r="T95" s="52"/>
    </row>
    <row r="96" spans="12:20">
      <c r="L96" s="49"/>
      <c r="M96" s="49"/>
      <c r="O96" s="51"/>
      <c r="P96" s="52"/>
      <c r="Q96" s="52"/>
      <c r="R96" s="50"/>
      <c r="S96" s="52"/>
      <c r="T96" s="52"/>
    </row>
    <row r="97" spans="12:20">
      <c r="L97" s="49"/>
      <c r="M97" s="49"/>
      <c r="O97" s="51"/>
      <c r="P97" s="52"/>
      <c r="Q97" s="52"/>
      <c r="R97" s="50"/>
      <c r="S97" s="52"/>
      <c r="T97" s="52"/>
    </row>
    <row r="98" spans="12:20">
      <c r="L98" s="49"/>
      <c r="M98" s="49"/>
      <c r="O98" s="51"/>
      <c r="P98" s="52"/>
      <c r="Q98" s="52"/>
      <c r="R98" s="50"/>
      <c r="S98" s="52"/>
      <c r="T98" s="52"/>
    </row>
    <row r="99" spans="12:20">
      <c r="L99" s="49"/>
      <c r="M99" s="49"/>
      <c r="O99" s="51"/>
      <c r="P99" s="52"/>
      <c r="Q99" s="52"/>
      <c r="R99" s="50"/>
      <c r="S99" s="52"/>
      <c r="T99" s="52"/>
    </row>
    <row r="100" spans="12:20">
      <c r="L100" s="49"/>
      <c r="M100" s="49"/>
      <c r="O100" s="51"/>
      <c r="P100" s="52"/>
      <c r="Q100" s="52"/>
      <c r="R100" s="50"/>
      <c r="S100" s="52"/>
      <c r="T100" s="52"/>
    </row>
    <row r="101" spans="12:20">
      <c r="L101" s="49"/>
      <c r="M101" s="49"/>
      <c r="O101" s="51"/>
      <c r="P101" s="52"/>
      <c r="Q101" s="52"/>
      <c r="R101" s="50"/>
      <c r="S101" s="52"/>
      <c r="T101" s="52"/>
    </row>
    <row r="102" spans="12:20">
      <c r="L102" s="49"/>
      <c r="M102" s="49"/>
      <c r="O102" s="51"/>
      <c r="P102" s="52"/>
      <c r="Q102" s="52"/>
      <c r="R102" s="50"/>
      <c r="S102" s="52"/>
      <c r="T102" s="52"/>
    </row>
    <row r="103" spans="12:20">
      <c r="L103" s="49"/>
      <c r="M103" s="49"/>
      <c r="O103" s="51"/>
      <c r="P103" s="52"/>
      <c r="Q103" s="52"/>
      <c r="R103" s="50"/>
      <c r="S103" s="52"/>
      <c r="T103" s="52"/>
    </row>
    <row r="104" spans="12:20">
      <c r="L104" s="49"/>
      <c r="M104" s="49"/>
      <c r="O104" s="51"/>
      <c r="P104" s="52"/>
      <c r="Q104" s="52"/>
      <c r="R104" s="50"/>
      <c r="S104" s="52"/>
      <c r="T104" s="52"/>
    </row>
    <row r="105" spans="12:20">
      <c r="L105" s="49"/>
      <c r="M105" s="49"/>
      <c r="O105" s="51"/>
      <c r="P105" s="52"/>
      <c r="Q105" s="52"/>
      <c r="R105" s="50"/>
      <c r="S105" s="52"/>
      <c r="T105" s="52"/>
    </row>
    <row r="106" spans="12:20">
      <c r="L106" s="49"/>
      <c r="M106" s="49"/>
      <c r="O106" s="51"/>
      <c r="P106" s="52"/>
      <c r="Q106" s="52"/>
      <c r="R106" s="50"/>
      <c r="S106" s="52"/>
      <c r="T106" s="52"/>
    </row>
    <row r="107" spans="12:20">
      <c r="L107" s="49"/>
      <c r="M107" s="49"/>
      <c r="O107" s="51"/>
      <c r="P107" s="52"/>
      <c r="Q107" s="52"/>
      <c r="R107" s="50"/>
      <c r="S107" s="52"/>
      <c r="T107" s="52"/>
    </row>
    <row r="108" spans="12:20">
      <c r="L108" s="49"/>
      <c r="M108" s="49"/>
      <c r="O108" s="51"/>
      <c r="P108" s="52"/>
      <c r="Q108" s="52"/>
      <c r="R108" s="50"/>
      <c r="S108" s="52"/>
      <c r="T108" s="52"/>
    </row>
    <row r="109" spans="12:20">
      <c r="L109" s="49"/>
      <c r="M109" s="49"/>
      <c r="O109" s="51"/>
      <c r="P109" s="52"/>
      <c r="Q109" s="52"/>
      <c r="R109" s="50"/>
      <c r="S109" s="52"/>
      <c r="T109" s="52"/>
    </row>
    <row r="110" spans="12:20">
      <c r="L110" s="49"/>
      <c r="M110" s="49"/>
      <c r="O110" s="51"/>
      <c r="P110" s="52"/>
      <c r="Q110" s="52"/>
      <c r="R110" s="50"/>
      <c r="S110" s="52"/>
      <c r="T110" s="52"/>
    </row>
    <row r="111" spans="12:20">
      <c r="L111" s="49"/>
      <c r="M111" s="49"/>
      <c r="O111" s="51"/>
      <c r="P111" s="52"/>
      <c r="Q111" s="52"/>
      <c r="R111" s="50"/>
      <c r="S111" s="52"/>
      <c r="T111" s="52"/>
    </row>
    <row r="112" spans="12:20">
      <c r="L112" s="49"/>
      <c r="M112" s="49"/>
      <c r="O112" s="51"/>
      <c r="P112" s="52"/>
      <c r="Q112" s="52"/>
      <c r="R112" s="50"/>
      <c r="S112" s="52"/>
      <c r="T112" s="52"/>
    </row>
    <row r="113" spans="1:20">
      <c r="L113" s="49"/>
      <c r="M113" s="49"/>
      <c r="O113" s="51"/>
      <c r="P113" s="52"/>
      <c r="Q113" s="52"/>
      <c r="R113" s="50"/>
      <c r="S113" s="52"/>
      <c r="T113" s="52"/>
    </row>
    <row r="114" spans="1:20">
      <c r="L114" s="49"/>
      <c r="M114" s="49"/>
      <c r="O114" s="51"/>
      <c r="P114" s="52"/>
      <c r="Q114" s="52"/>
      <c r="R114" s="50"/>
      <c r="S114" s="52"/>
      <c r="T114" s="52"/>
    </row>
    <row r="115" spans="1:20">
      <c r="L115" s="49"/>
      <c r="M115" s="49"/>
      <c r="O115" s="51"/>
      <c r="P115" s="52"/>
      <c r="Q115" s="52"/>
      <c r="R115" s="50"/>
      <c r="S115" s="52"/>
      <c r="T115" s="52"/>
    </row>
    <row r="116" spans="1:20">
      <c r="L116" s="49"/>
      <c r="M116" s="49"/>
      <c r="O116" s="51"/>
      <c r="P116" s="52"/>
      <c r="Q116" s="52"/>
      <c r="R116" s="50"/>
      <c r="S116" s="52"/>
      <c r="T116" s="52"/>
    </row>
    <row r="117" spans="1:20">
      <c r="A117" s="5"/>
      <c r="D117" s="5"/>
      <c r="E117" s="5"/>
      <c r="F117" s="5"/>
      <c r="G117" s="5"/>
      <c r="H117" s="5"/>
      <c r="I117" s="5"/>
      <c r="J117" s="5"/>
      <c r="L117" s="49"/>
      <c r="M117" s="49"/>
      <c r="O117" s="51"/>
      <c r="P117" s="52"/>
      <c r="Q117" s="52"/>
      <c r="R117" s="50"/>
      <c r="S117" s="52"/>
      <c r="T117" s="52"/>
    </row>
    <row r="118" spans="1:20">
      <c r="A118" s="5"/>
      <c r="D118" s="5"/>
      <c r="E118" s="5"/>
      <c r="F118" s="5"/>
      <c r="G118" s="5"/>
      <c r="H118" s="5"/>
      <c r="I118" s="5"/>
      <c r="J118" s="5"/>
      <c r="L118" s="49"/>
      <c r="M118" s="49"/>
      <c r="O118" s="51"/>
      <c r="P118" s="52"/>
      <c r="Q118" s="52"/>
      <c r="R118" s="50"/>
      <c r="S118" s="52"/>
      <c r="T118" s="52"/>
    </row>
    <row r="119" spans="1:20">
      <c r="A119" s="5"/>
      <c r="D119" s="5"/>
      <c r="E119" s="5"/>
      <c r="F119" s="5"/>
      <c r="G119" s="5"/>
      <c r="H119" s="5"/>
      <c r="I119" s="5"/>
      <c r="J119" s="5"/>
      <c r="L119" s="49"/>
      <c r="M119" s="49"/>
      <c r="O119" s="51"/>
      <c r="P119" s="52"/>
      <c r="Q119" s="52"/>
      <c r="R119" s="50"/>
      <c r="S119" s="52"/>
      <c r="T119" s="52"/>
    </row>
    <row r="120" spans="1:20">
      <c r="A120" s="5"/>
      <c r="D120" s="5"/>
      <c r="E120" s="5"/>
      <c r="F120" s="5"/>
      <c r="G120" s="5"/>
      <c r="H120" s="5"/>
      <c r="I120" s="5"/>
      <c r="J120" s="5"/>
      <c r="L120" s="49"/>
      <c r="M120" s="49"/>
      <c r="O120" s="51"/>
      <c r="P120" s="52"/>
      <c r="Q120" s="52"/>
      <c r="R120" s="50"/>
      <c r="S120" s="52"/>
      <c r="T120" s="52"/>
    </row>
    <row r="121" spans="1:20">
      <c r="A121" s="5"/>
      <c r="D121" s="5"/>
      <c r="E121" s="5"/>
      <c r="F121" s="5"/>
      <c r="G121" s="5"/>
      <c r="H121" s="5"/>
      <c r="I121" s="5"/>
      <c r="J121" s="5"/>
      <c r="L121" s="49"/>
      <c r="M121" s="49"/>
      <c r="O121" s="51"/>
      <c r="P121" s="52"/>
      <c r="Q121" s="52"/>
      <c r="R121" s="50"/>
      <c r="S121" s="52"/>
      <c r="T121" s="52"/>
    </row>
    <row r="122" spans="1:20">
      <c r="A122" s="5"/>
      <c r="D122" s="5"/>
      <c r="E122" s="5"/>
      <c r="F122" s="5"/>
      <c r="G122" s="5"/>
      <c r="H122" s="5"/>
      <c r="I122" s="5"/>
      <c r="J122" s="5"/>
      <c r="L122" s="49"/>
      <c r="M122" s="49"/>
      <c r="O122" s="51"/>
      <c r="P122" s="52"/>
      <c r="Q122" s="52"/>
      <c r="R122" s="50"/>
      <c r="S122" s="52"/>
      <c r="T122" s="52"/>
    </row>
    <row r="123" spans="1:20">
      <c r="A123" s="5"/>
      <c r="D123" s="5"/>
      <c r="E123" s="5"/>
      <c r="F123" s="5"/>
      <c r="G123" s="5"/>
      <c r="H123" s="5"/>
      <c r="I123" s="5"/>
      <c r="J123" s="5"/>
    </row>
    <row r="124" spans="1:20">
      <c r="A124" s="5"/>
      <c r="D124" s="5"/>
      <c r="E124" s="5"/>
      <c r="F124" s="5"/>
      <c r="G124" s="5"/>
      <c r="H124" s="5"/>
      <c r="I124" s="5"/>
      <c r="J124" s="5"/>
    </row>
    <row r="125" spans="1:20">
      <c r="A125" s="5"/>
      <c r="D125" s="5"/>
      <c r="E125" s="5"/>
      <c r="F125" s="5"/>
      <c r="G125" s="5"/>
      <c r="H125" s="5"/>
      <c r="I125" s="5"/>
      <c r="J125" s="5"/>
    </row>
    <row r="126" spans="1:20">
      <c r="A126" s="5"/>
      <c r="D126" s="5"/>
      <c r="E126" s="5"/>
      <c r="F126" s="5"/>
      <c r="G126" s="5"/>
      <c r="H126" s="5"/>
      <c r="I126" s="5"/>
      <c r="J126" s="5"/>
    </row>
    <row r="127" spans="1:20">
      <c r="A127" s="5"/>
      <c r="D127" s="5"/>
      <c r="E127" s="5"/>
      <c r="F127" s="5"/>
      <c r="G127" s="5"/>
      <c r="H127" s="5"/>
      <c r="I127" s="5"/>
      <c r="J127" s="5"/>
    </row>
    <row r="128" spans="1:20">
      <c r="A128" s="5"/>
      <c r="D128" s="5"/>
      <c r="E128" s="5"/>
      <c r="F128" s="5"/>
      <c r="G128" s="5"/>
      <c r="H128" s="5"/>
      <c r="I128" s="5"/>
      <c r="J128" s="5"/>
    </row>
    <row r="129" spans="1:10">
      <c r="A129" s="5"/>
      <c r="D129" s="5"/>
      <c r="E129" s="5"/>
      <c r="F129" s="5"/>
      <c r="G129" s="5"/>
      <c r="H129" s="5"/>
      <c r="I129" s="5"/>
      <c r="J129" s="5"/>
    </row>
    <row r="130" spans="1:10">
      <c r="A130" s="5"/>
      <c r="D130" s="5"/>
      <c r="E130" s="5"/>
      <c r="F130" s="5"/>
      <c r="G130" s="5"/>
      <c r="H130" s="5"/>
      <c r="I130" s="5"/>
      <c r="J130" s="5"/>
    </row>
    <row r="131" spans="1:10">
      <c r="A131" s="5"/>
      <c r="D131" s="5"/>
      <c r="E131" s="5"/>
      <c r="F131" s="5"/>
      <c r="G131" s="5"/>
      <c r="H131" s="5"/>
      <c r="I131" s="5"/>
      <c r="J131" s="5"/>
    </row>
    <row r="132" spans="1:10">
      <c r="A132" s="5"/>
      <c r="D132" s="5"/>
      <c r="E132" s="5"/>
      <c r="F132" s="5"/>
      <c r="G132" s="5"/>
      <c r="H132" s="5"/>
      <c r="I132" s="5"/>
      <c r="J132" s="5"/>
    </row>
    <row r="133" spans="1:10">
      <c r="A133" s="5"/>
      <c r="D133" s="5"/>
      <c r="E133" s="5"/>
      <c r="F133" s="5"/>
      <c r="G133" s="5"/>
      <c r="H133" s="5"/>
      <c r="I133" s="5"/>
      <c r="J133" s="5"/>
    </row>
    <row r="134" spans="1:10">
      <c r="A134" s="5"/>
      <c r="D134" s="5"/>
      <c r="E134" s="5"/>
      <c r="F134" s="5"/>
      <c r="G134" s="5"/>
      <c r="H134" s="5"/>
      <c r="I134" s="5"/>
      <c r="J134" s="5"/>
    </row>
    <row r="135" spans="1:10">
      <c r="A135" s="5"/>
      <c r="D135" s="5"/>
      <c r="E135" s="5"/>
      <c r="F135" s="5"/>
      <c r="G135" s="5"/>
      <c r="H135" s="5"/>
      <c r="I135" s="5"/>
      <c r="J135" s="5"/>
    </row>
    <row r="136" spans="1:10">
      <c r="A136" s="5"/>
      <c r="D136" s="5"/>
      <c r="E136" s="5"/>
      <c r="F136" s="5"/>
      <c r="G136" s="5"/>
      <c r="H136" s="5"/>
      <c r="I136" s="5"/>
      <c r="J136" s="5"/>
    </row>
    <row r="137" spans="1:10">
      <c r="A137" s="5"/>
      <c r="D137" s="5"/>
      <c r="E137" s="5"/>
      <c r="F137" s="5"/>
      <c r="G137" s="5"/>
      <c r="H137" s="5"/>
      <c r="I137" s="5"/>
      <c r="J137" s="5"/>
    </row>
    <row r="138" spans="1:10">
      <c r="A138" s="5"/>
      <c r="D138" s="5"/>
      <c r="E138" s="5"/>
      <c r="F138" s="5"/>
      <c r="G138" s="5"/>
      <c r="H138" s="5"/>
      <c r="I138" s="5"/>
      <c r="J138" s="5"/>
    </row>
    <row r="139" spans="1:10">
      <c r="A139" s="5"/>
      <c r="D139" s="5"/>
      <c r="E139" s="5"/>
      <c r="F139" s="5"/>
      <c r="G139" s="5"/>
      <c r="H139" s="5"/>
      <c r="I139" s="5"/>
      <c r="J139" s="5"/>
    </row>
    <row r="140" spans="1:10">
      <c r="A140" s="5"/>
      <c r="D140" s="5"/>
      <c r="E140" s="5"/>
      <c r="F140" s="5"/>
      <c r="G140" s="5"/>
      <c r="H140" s="5"/>
      <c r="I140" s="5"/>
      <c r="J140" s="5"/>
    </row>
    <row r="141" spans="1:10">
      <c r="A141" s="5"/>
      <c r="D141" s="5"/>
      <c r="E141" s="5"/>
      <c r="F141" s="5"/>
      <c r="G141" s="5"/>
      <c r="H141" s="5"/>
      <c r="I141" s="5"/>
      <c r="J141" s="5"/>
    </row>
    <row r="142" spans="1:10">
      <c r="A142" s="5"/>
      <c r="D142" s="5"/>
      <c r="E142" s="5"/>
      <c r="F142" s="5"/>
      <c r="G142" s="5"/>
      <c r="H142" s="5"/>
      <c r="I142" s="5"/>
      <c r="J142" s="5"/>
    </row>
    <row r="143" spans="1:10">
      <c r="A143" s="5"/>
      <c r="D143" s="5"/>
      <c r="E143" s="5"/>
      <c r="F143" s="5"/>
      <c r="G143" s="5"/>
      <c r="H143" s="5"/>
      <c r="I143" s="5"/>
      <c r="J143" s="5"/>
    </row>
    <row r="144" spans="1:10">
      <c r="A144" s="5"/>
      <c r="D144" s="5"/>
      <c r="E144" s="5"/>
      <c r="F144" s="5"/>
      <c r="G144" s="5"/>
      <c r="H144" s="5"/>
      <c r="I144" s="5"/>
      <c r="J144" s="5"/>
    </row>
    <row r="145" spans="1:10">
      <c r="A145" s="5"/>
      <c r="D145" s="5"/>
      <c r="E145" s="5"/>
      <c r="F145" s="5"/>
      <c r="G145" s="5"/>
      <c r="H145" s="5"/>
      <c r="I145" s="5"/>
      <c r="J145" s="5"/>
    </row>
    <row r="146" spans="1:10">
      <c r="A146" s="5"/>
      <c r="D146" s="5"/>
      <c r="E146" s="5"/>
      <c r="F146" s="5"/>
      <c r="G146" s="5"/>
      <c r="H146" s="5"/>
      <c r="I146" s="5"/>
      <c r="J146" s="5"/>
    </row>
    <row r="147" spans="1:10">
      <c r="A147" s="5"/>
      <c r="D147" s="5"/>
      <c r="E147" s="5"/>
      <c r="F147" s="5"/>
      <c r="G147" s="5"/>
      <c r="H147" s="5"/>
      <c r="I147" s="5"/>
      <c r="J147" s="5"/>
    </row>
    <row r="148" spans="1:10">
      <c r="A148" s="5"/>
      <c r="D148" s="5"/>
      <c r="E148" s="5"/>
      <c r="F148" s="5"/>
      <c r="G148" s="5"/>
      <c r="H148" s="5"/>
      <c r="I148" s="5"/>
      <c r="J148" s="5"/>
    </row>
    <row r="149" spans="1:10">
      <c r="A149" s="5"/>
      <c r="D149" s="5"/>
      <c r="E149" s="5"/>
      <c r="F149" s="5"/>
      <c r="G149" s="5"/>
      <c r="H149" s="5"/>
      <c r="I149" s="5"/>
      <c r="J149" s="5"/>
    </row>
    <row r="150" spans="1:10">
      <c r="A150" s="5"/>
      <c r="D150" s="5"/>
      <c r="E150" s="5"/>
      <c r="F150" s="5"/>
      <c r="G150" s="5"/>
      <c r="H150" s="5"/>
      <c r="I150" s="5"/>
      <c r="J150" s="5"/>
    </row>
    <row r="151" spans="1:10">
      <c r="A151" s="5"/>
      <c r="D151" s="5"/>
      <c r="E151" s="5"/>
      <c r="F151" s="5"/>
      <c r="G151" s="5"/>
      <c r="H151" s="5"/>
      <c r="I151" s="5"/>
      <c r="J151" s="5"/>
    </row>
    <row r="152" spans="1:10">
      <c r="A152" s="5"/>
      <c r="D152" s="5"/>
      <c r="E152" s="5"/>
      <c r="F152" s="5"/>
      <c r="G152" s="5"/>
      <c r="H152" s="5"/>
      <c r="I152" s="5"/>
      <c r="J152" s="5"/>
    </row>
    <row r="153" spans="1:10">
      <c r="A153" s="5"/>
      <c r="D153" s="5"/>
      <c r="E153" s="5"/>
      <c r="F153" s="5"/>
      <c r="G153" s="5"/>
      <c r="H153" s="5"/>
      <c r="I153" s="5"/>
      <c r="J153" s="5"/>
    </row>
    <row r="154" spans="1:10">
      <c r="A154" s="5"/>
      <c r="D154" s="5"/>
      <c r="E154" s="5"/>
      <c r="F154" s="5"/>
      <c r="G154" s="5"/>
      <c r="H154" s="5"/>
      <c r="I154" s="5"/>
      <c r="J154" s="5"/>
    </row>
    <row r="155" spans="1:10">
      <c r="A155" s="5"/>
      <c r="D155" s="5"/>
      <c r="E155" s="5"/>
      <c r="F155" s="5"/>
      <c r="G155" s="5"/>
      <c r="H155" s="5"/>
      <c r="I155" s="5"/>
      <c r="J155" s="5"/>
    </row>
    <row r="156" spans="1:10">
      <c r="A156" s="5"/>
      <c r="D156" s="5"/>
      <c r="E156" s="5"/>
      <c r="F156" s="5"/>
      <c r="G156" s="5"/>
      <c r="H156" s="5"/>
      <c r="I156" s="5"/>
      <c r="J156" s="5"/>
    </row>
    <row r="157" spans="1:10">
      <c r="A157" s="5"/>
      <c r="D157" s="5"/>
      <c r="E157" s="5"/>
      <c r="F157" s="5"/>
      <c r="G157" s="5"/>
      <c r="H157" s="5"/>
      <c r="I157" s="5"/>
      <c r="J157" s="5"/>
    </row>
    <row r="158" spans="1:10">
      <c r="A158" s="5"/>
      <c r="D158" s="5"/>
      <c r="E158" s="5"/>
      <c r="F158" s="5"/>
      <c r="G158" s="5"/>
      <c r="H158" s="5"/>
      <c r="I158" s="5"/>
      <c r="J158" s="5"/>
    </row>
    <row r="159" spans="1:10">
      <c r="A159" s="5"/>
      <c r="D159" s="5"/>
      <c r="E159" s="5"/>
      <c r="F159" s="5"/>
      <c r="G159" s="5"/>
      <c r="H159" s="5"/>
      <c r="I159" s="5"/>
      <c r="J159" s="5"/>
    </row>
    <row r="160" spans="1:10">
      <c r="A160" s="5"/>
      <c r="D160" s="5"/>
      <c r="E160" s="5"/>
      <c r="F160" s="5"/>
      <c r="G160" s="5"/>
      <c r="H160" s="5"/>
      <c r="I160" s="5"/>
      <c r="J160" s="5"/>
    </row>
  </sheetData>
  <mergeCells count="2">
    <mergeCell ref="A1:J1"/>
    <mergeCell ref="A2:J2"/>
  </mergeCells>
  <conditionalFormatting sqref="B1:B3 B161:B1048576">
    <cfRule type="cellIs" dxfId="7" priority="2" operator="equal">
      <formula>"Sat"</formula>
    </cfRule>
  </conditionalFormatting>
  <conditionalFormatting sqref="B4:B24">
    <cfRule type="containsText" dxfId="6" priority="1" operator="containsText" text="Sun">
      <formula>NOT(ISERROR(SEARCH("Sun",B4)))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549E-3435-47B7-B558-3CA86CBD9306}">
  <dimension ref="A1:T160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5" sqref="A25:J160"/>
    </sheetView>
  </sheetViews>
  <sheetFormatPr defaultRowHeight="15"/>
  <cols>
    <col min="1" max="1" width="10.85546875" style="1" bestFit="1" customWidth="1"/>
    <col min="2" max="2" width="10.85546875" style="5" customWidth="1"/>
    <col min="3" max="3" width="7.85546875" style="5" customWidth="1"/>
    <col min="4" max="4" width="11.7109375" style="1" bestFit="1" customWidth="1"/>
    <col min="5" max="7" width="11.85546875" style="1" bestFit="1" customWidth="1"/>
    <col min="8" max="9" width="12.5703125" style="1" bestFit="1" customWidth="1"/>
    <col min="10" max="10" width="11.85546875" style="1" bestFit="1" customWidth="1"/>
    <col min="11" max="11" width="35.5703125" style="5" bestFit="1" customWidth="1"/>
    <col min="12" max="12" width="13.42578125" style="1" bestFit="1" customWidth="1"/>
    <col min="13" max="13" width="11" style="1" customWidth="1"/>
    <col min="14" max="14" width="55.42578125" style="50" bestFit="1" customWidth="1"/>
    <col min="15" max="15" width="6.42578125" style="3" customWidth="1"/>
    <col min="16" max="16" width="8.5703125" style="2" bestFit="1" customWidth="1"/>
    <col min="17" max="17" width="9" style="2" bestFit="1" customWidth="1"/>
    <col min="18" max="18" width="25.7109375" style="12" bestFit="1" customWidth="1"/>
    <col min="19" max="16384" width="9.140625" style="2"/>
  </cols>
  <sheetData>
    <row r="1" spans="1:20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</row>
    <row r="2" spans="1:20" ht="18.75">
      <c r="A2" s="95" t="s">
        <v>199</v>
      </c>
      <c r="B2" s="95"/>
      <c r="C2" s="95"/>
      <c r="D2" s="95"/>
      <c r="E2" s="95"/>
      <c r="F2" s="95"/>
      <c r="G2" s="95"/>
      <c r="H2" s="95"/>
      <c r="I2" s="95"/>
      <c r="J2" s="95"/>
      <c r="L2" s="23"/>
      <c r="M2" s="23"/>
      <c r="N2" s="53"/>
      <c r="O2" s="23"/>
      <c r="P2" s="23"/>
      <c r="Q2" s="23"/>
      <c r="R2" s="23"/>
      <c r="S2" s="23"/>
      <c r="T2" s="23"/>
    </row>
    <row r="3" spans="1:20" s="1" customFormat="1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L3" s="11" t="s">
        <v>9</v>
      </c>
      <c r="M3" s="11"/>
      <c r="N3" s="54" t="s">
        <v>10</v>
      </c>
      <c r="O3" s="10" t="s">
        <v>11</v>
      </c>
      <c r="P3" s="10" t="s">
        <v>12</v>
      </c>
      <c r="Q3" s="10" t="s">
        <v>13</v>
      </c>
      <c r="R3" s="10" t="s">
        <v>14</v>
      </c>
      <c r="S3" s="8" t="s">
        <v>16</v>
      </c>
      <c r="T3" s="8" t="s">
        <v>17</v>
      </c>
    </row>
    <row r="4" spans="1:20">
      <c r="A4" s="24">
        <v>46237</v>
      </c>
      <c r="B4" s="4" t="s">
        <v>19</v>
      </c>
      <c r="C4" s="7">
        <v>1</v>
      </c>
      <c r="D4" s="61" t="s">
        <v>96</v>
      </c>
      <c r="E4" s="16" t="s">
        <v>119</v>
      </c>
      <c r="F4" s="4" t="s">
        <v>97</v>
      </c>
      <c r="G4" s="18"/>
      <c r="H4" s="15" t="s">
        <v>88</v>
      </c>
      <c r="I4" s="16" t="s">
        <v>98</v>
      </c>
      <c r="J4" s="61" t="s">
        <v>94</v>
      </c>
      <c r="L4" s="4" t="s">
        <v>83</v>
      </c>
      <c r="M4" s="4"/>
      <c r="N4" s="36" t="s">
        <v>41</v>
      </c>
      <c r="O4" s="25">
        <v>2</v>
      </c>
      <c r="P4" s="14">
        <f t="shared" ref="P4:P15" si="0">Q4/1.25</f>
        <v>24</v>
      </c>
      <c r="Q4" s="14">
        <f t="shared" ref="Q4:Q15" si="1">O4*15</f>
        <v>30</v>
      </c>
      <c r="R4" s="34" t="s">
        <v>63</v>
      </c>
      <c r="S4" s="13">
        <f>COUNTIF($D$4:$J$144,"AIM")</f>
        <v>2</v>
      </c>
      <c r="T4" s="13">
        <f t="shared" ref="T4:T15" si="2">P4-S4</f>
        <v>22</v>
      </c>
    </row>
    <row r="5" spans="1:20" ht="25.5">
      <c r="A5" s="24">
        <v>46238</v>
      </c>
      <c r="B5" s="4" t="s">
        <v>20</v>
      </c>
      <c r="C5" s="7">
        <f>C4+1</f>
        <v>2</v>
      </c>
      <c r="D5" s="61" t="s">
        <v>28</v>
      </c>
      <c r="E5" s="16" t="s">
        <v>175</v>
      </c>
      <c r="F5" s="16" t="s">
        <v>187</v>
      </c>
      <c r="G5" s="18"/>
      <c r="H5" s="16" t="s">
        <v>190</v>
      </c>
      <c r="I5" s="16"/>
      <c r="J5" s="61" t="s">
        <v>93</v>
      </c>
      <c r="L5" s="26" t="s">
        <v>84</v>
      </c>
      <c r="M5" s="26"/>
      <c r="N5" s="36" t="s">
        <v>42</v>
      </c>
      <c r="O5" s="27">
        <v>2</v>
      </c>
      <c r="P5" s="14">
        <f t="shared" si="0"/>
        <v>24</v>
      </c>
      <c r="Q5" s="14">
        <f t="shared" si="1"/>
        <v>30</v>
      </c>
      <c r="R5" s="31"/>
      <c r="S5" s="13">
        <f>COUNTIF($D$4:$J$144,"MA")</f>
        <v>0</v>
      </c>
      <c r="T5" s="13">
        <f t="shared" si="2"/>
        <v>24</v>
      </c>
    </row>
    <row r="6" spans="1:20" ht="25.5">
      <c r="A6" s="24">
        <v>46239</v>
      </c>
      <c r="B6" s="4" t="s">
        <v>21</v>
      </c>
      <c r="C6" s="7">
        <f t="shared" ref="C6:C9" si="3">C5+1</f>
        <v>3</v>
      </c>
      <c r="D6" s="17" t="s">
        <v>126</v>
      </c>
      <c r="E6" s="4" t="s">
        <v>95</v>
      </c>
      <c r="F6" s="17" t="s">
        <v>178</v>
      </c>
      <c r="G6" s="18"/>
      <c r="H6" s="16" t="s">
        <v>191</v>
      </c>
      <c r="I6" s="16" t="s">
        <v>184</v>
      </c>
      <c r="J6" s="61" t="s">
        <v>118</v>
      </c>
      <c r="L6" s="26" t="s">
        <v>32</v>
      </c>
      <c r="M6" s="26"/>
      <c r="N6" s="36" t="s">
        <v>43</v>
      </c>
      <c r="O6" s="25">
        <v>2</v>
      </c>
      <c r="P6" s="14">
        <f t="shared" si="0"/>
        <v>24</v>
      </c>
      <c r="Q6" s="14">
        <f t="shared" si="1"/>
        <v>30</v>
      </c>
      <c r="R6" s="35" t="s">
        <v>61</v>
      </c>
      <c r="S6" s="13">
        <f>COUNTIF($D$4:$J$144,"FT")</f>
        <v>0</v>
      </c>
      <c r="T6" s="13">
        <f t="shared" si="2"/>
        <v>24</v>
      </c>
    </row>
    <row r="7" spans="1:20" ht="25.5">
      <c r="A7" s="24">
        <v>46240</v>
      </c>
      <c r="B7" s="4" t="s">
        <v>22</v>
      </c>
      <c r="C7" s="7">
        <f t="shared" si="3"/>
        <v>4</v>
      </c>
      <c r="D7" s="4" t="s">
        <v>116</v>
      </c>
      <c r="E7" s="17" t="s">
        <v>183</v>
      </c>
      <c r="F7" s="16" t="s">
        <v>26</v>
      </c>
      <c r="G7" s="18"/>
      <c r="H7" s="16" t="s">
        <v>181</v>
      </c>
      <c r="I7" s="16" t="s">
        <v>192</v>
      </c>
      <c r="J7" s="61" t="s">
        <v>120</v>
      </c>
      <c r="L7" s="26" t="s">
        <v>129</v>
      </c>
      <c r="M7" s="26"/>
      <c r="N7" s="38" t="s">
        <v>55</v>
      </c>
      <c r="O7" s="28">
        <v>1</v>
      </c>
      <c r="P7" s="14">
        <f t="shared" si="0"/>
        <v>12</v>
      </c>
      <c r="Q7" s="14">
        <f t="shared" si="1"/>
        <v>15</v>
      </c>
      <c r="R7" s="31"/>
      <c r="S7" s="13">
        <f>COUNTIF($D$4:$J$144,"SFM")</f>
        <v>0</v>
      </c>
      <c r="T7" s="13">
        <f t="shared" si="2"/>
        <v>12</v>
      </c>
    </row>
    <row r="8" spans="1:20">
      <c r="A8" s="24">
        <v>46241</v>
      </c>
      <c r="B8" s="4" t="s">
        <v>23</v>
      </c>
      <c r="C8" s="7">
        <f t="shared" si="3"/>
        <v>5</v>
      </c>
      <c r="D8" s="73" t="s">
        <v>134</v>
      </c>
      <c r="E8" s="73" t="s">
        <v>134</v>
      </c>
      <c r="F8" s="73" t="s">
        <v>134</v>
      </c>
      <c r="G8" s="18"/>
      <c r="H8" s="73" t="s">
        <v>134</v>
      </c>
      <c r="I8" s="73" t="s">
        <v>134</v>
      </c>
      <c r="J8" s="73" t="s">
        <v>134</v>
      </c>
      <c r="L8" s="20" t="s">
        <v>117</v>
      </c>
      <c r="M8" s="20"/>
      <c r="N8" s="36" t="s">
        <v>136</v>
      </c>
      <c r="O8" s="39">
        <v>2</v>
      </c>
      <c r="P8" s="55">
        <f t="shared" si="0"/>
        <v>24</v>
      </c>
      <c r="Q8" s="55">
        <f t="shared" si="1"/>
        <v>30</v>
      </c>
      <c r="R8" s="56" t="s">
        <v>82</v>
      </c>
      <c r="S8" s="29">
        <f>COUNTIF($D$4:$J$144,"TAX")</f>
        <v>0</v>
      </c>
      <c r="T8" s="29">
        <f t="shared" si="2"/>
        <v>24</v>
      </c>
    </row>
    <row r="9" spans="1:20">
      <c r="A9" s="24">
        <v>46242</v>
      </c>
      <c r="B9" s="4" t="s">
        <v>24</v>
      </c>
      <c r="C9" s="7">
        <f t="shared" si="3"/>
        <v>6</v>
      </c>
      <c r="D9" s="73" t="s">
        <v>32</v>
      </c>
      <c r="E9" s="73" t="s">
        <v>32</v>
      </c>
      <c r="F9" s="73"/>
      <c r="G9" s="18"/>
      <c r="H9" s="73"/>
      <c r="I9" s="73"/>
      <c r="J9" s="73"/>
      <c r="L9" s="19" t="s">
        <v>120</v>
      </c>
      <c r="M9" s="19"/>
      <c r="N9" s="36" t="s">
        <v>137</v>
      </c>
      <c r="O9" s="39">
        <v>2</v>
      </c>
      <c r="P9" s="55">
        <f t="shared" si="0"/>
        <v>24</v>
      </c>
      <c r="Q9" s="55">
        <f t="shared" si="1"/>
        <v>30</v>
      </c>
      <c r="R9" s="76" t="s">
        <v>68</v>
      </c>
      <c r="S9" s="29">
        <f>COUNTIF($D$4:$J$144,"SAPM")</f>
        <v>3</v>
      </c>
      <c r="T9" s="29">
        <f t="shared" si="2"/>
        <v>21</v>
      </c>
    </row>
    <row r="10" spans="1:20">
      <c r="A10" s="24">
        <v>46243</v>
      </c>
      <c r="B10" s="4" t="s">
        <v>25</v>
      </c>
      <c r="C10" s="7"/>
      <c r="D10" s="21"/>
      <c r="E10" s="21"/>
      <c r="F10" s="22"/>
      <c r="G10" s="6"/>
      <c r="H10" s="22"/>
      <c r="I10" s="21"/>
      <c r="J10" s="75"/>
      <c r="L10" s="19" t="s">
        <v>85</v>
      </c>
      <c r="M10" s="19"/>
      <c r="N10" s="36" t="s">
        <v>138</v>
      </c>
      <c r="O10" s="39">
        <v>2</v>
      </c>
      <c r="P10" s="55">
        <f t="shared" si="0"/>
        <v>24</v>
      </c>
      <c r="Q10" s="55">
        <f t="shared" si="1"/>
        <v>30</v>
      </c>
      <c r="R10" s="76" t="s">
        <v>65</v>
      </c>
      <c r="S10" s="29">
        <f>COUNTIF($D$4:$J$144,"DSMM")</f>
        <v>3</v>
      </c>
      <c r="T10" s="29">
        <f t="shared" si="2"/>
        <v>21</v>
      </c>
    </row>
    <row r="11" spans="1:20">
      <c r="A11" s="24">
        <v>46244</v>
      </c>
      <c r="B11" s="4" t="s">
        <v>19</v>
      </c>
      <c r="C11" s="7">
        <f>C9+1</f>
        <v>7</v>
      </c>
      <c r="D11" s="61" t="s">
        <v>96</v>
      </c>
      <c r="E11" s="16" t="s">
        <v>119</v>
      </c>
      <c r="F11" s="4" t="s">
        <v>97</v>
      </c>
      <c r="G11" s="18"/>
      <c r="H11" s="15" t="s">
        <v>203</v>
      </c>
      <c r="I11" s="16" t="s">
        <v>98</v>
      </c>
      <c r="J11" s="61" t="s">
        <v>94</v>
      </c>
      <c r="L11" s="19" t="s">
        <v>86</v>
      </c>
      <c r="M11" s="19"/>
      <c r="N11" s="36" t="s">
        <v>139</v>
      </c>
      <c r="O11" s="39">
        <v>2</v>
      </c>
      <c r="P11" s="55">
        <f t="shared" si="0"/>
        <v>24</v>
      </c>
      <c r="Q11" s="55">
        <f t="shared" si="1"/>
        <v>30</v>
      </c>
      <c r="R11" s="76" t="s">
        <v>58</v>
      </c>
      <c r="S11" s="29">
        <f>COUNTIF($D$4:$J$144,"IMC")</f>
        <v>0</v>
      </c>
      <c r="T11" s="29">
        <f t="shared" si="2"/>
        <v>24</v>
      </c>
    </row>
    <row r="12" spans="1:20" ht="25.5">
      <c r="A12" s="24">
        <v>46245</v>
      </c>
      <c r="B12" s="4" t="s">
        <v>20</v>
      </c>
      <c r="C12" s="7">
        <f>C11+1</f>
        <v>8</v>
      </c>
      <c r="D12" s="61" t="s">
        <v>28</v>
      </c>
      <c r="E12" s="16" t="s">
        <v>175</v>
      </c>
      <c r="F12" s="16" t="s">
        <v>187</v>
      </c>
      <c r="G12" s="18"/>
      <c r="H12" s="16" t="s">
        <v>190</v>
      </c>
      <c r="I12" s="16" t="s">
        <v>83</v>
      </c>
      <c r="J12" s="61" t="s">
        <v>93</v>
      </c>
      <c r="L12" s="19" t="s">
        <v>87</v>
      </c>
      <c r="M12" s="19"/>
      <c r="N12" s="36" t="s">
        <v>140</v>
      </c>
      <c r="O12" s="39">
        <v>2</v>
      </c>
      <c r="P12" s="55">
        <f t="shared" si="0"/>
        <v>24</v>
      </c>
      <c r="Q12" s="55">
        <f t="shared" si="1"/>
        <v>30</v>
      </c>
      <c r="R12" s="76" t="s">
        <v>67</v>
      </c>
      <c r="S12" s="29">
        <f>COUNTIF($D$4:$J$144,"PS")</f>
        <v>0</v>
      </c>
      <c r="T12" s="29">
        <f t="shared" si="2"/>
        <v>24</v>
      </c>
    </row>
    <row r="13" spans="1:20" ht="25.5">
      <c r="A13" s="24">
        <v>46246</v>
      </c>
      <c r="B13" s="4" t="s">
        <v>21</v>
      </c>
      <c r="C13" s="7">
        <f t="shared" ref="C13:C15" si="4">C12+1</f>
        <v>9</v>
      </c>
      <c r="D13" s="17" t="s">
        <v>126</v>
      </c>
      <c r="E13" s="4" t="s">
        <v>95</v>
      </c>
      <c r="F13" s="17" t="s">
        <v>178</v>
      </c>
      <c r="G13" s="18"/>
      <c r="H13" s="16" t="s">
        <v>191</v>
      </c>
      <c r="I13" s="16" t="s">
        <v>184</v>
      </c>
      <c r="J13" s="61" t="s">
        <v>118</v>
      </c>
      <c r="L13" s="19" t="s">
        <v>88</v>
      </c>
      <c r="M13" s="19"/>
      <c r="N13" s="36" t="s">
        <v>141</v>
      </c>
      <c r="O13" s="39">
        <v>2</v>
      </c>
      <c r="P13" s="55">
        <f t="shared" si="0"/>
        <v>24</v>
      </c>
      <c r="Q13" s="55">
        <f t="shared" si="1"/>
        <v>30</v>
      </c>
      <c r="R13" s="76" t="s">
        <v>66</v>
      </c>
      <c r="S13" s="29">
        <f>COUNTIF($D$4:$J$144,"DDM")</f>
        <v>3</v>
      </c>
      <c r="T13" s="29">
        <f t="shared" si="2"/>
        <v>21</v>
      </c>
    </row>
    <row r="14" spans="1:20" ht="25.5">
      <c r="A14" s="24">
        <v>46247</v>
      </c>
      <c r="B14" s="4" t="s">
        <v>22</v>
      </c>
      <c r="C14" s="7">
        <f t="shared" si="4"/>
        <v>10</v>
      </c>
      <c r="D14" s="4" t="s">
        <v>116</v>
      </c>
      <c r="E14" s="17" t="s">
        <v>183</v>
      </c>
      <c r="F14" s="16" t="s">
        <v>26</v>
      </c>
      <c r="G14" s="18"/>
      <c r="H14" s="16" t="s">
        <v>181</v>
      </c>
      <c r="I14" s="16" t="s">
        <v>192</v>
      </c>
      <c r="J14" s="61" t="s">
        <v>120</v>
      </c>
      <c r="L14" s="19" t="s">
        <v>121</v>
      </c>
      <c r="M14" s="19"/>
      <c r="N14" s="36" t="s">
        <v>142</v>
      </c>
      <c r="O14" s="39">
        <v>2</v>
      </c>
      <c r="P14" s="55">
        <f t="shared" si="0"/>
        <v>24</v>
      </c>
      <c r="Q14" s="55">
        <f t="shared" si="1"/>
        <v>30</v>
      </c>
      <c r="R14" s="76"/>
      <c r="S14" s="29">
        <f>COUNTIF($D$4:$J$144,"EM")</f>
        <v>0</v>
      </c>
      <c r="T14" s="29">
        <f t="shared" si="2"/>
        <v>24</v>
      </c>
    </row>
    <row r="15" spans="1:20">
      <c r="A15" s="24">
        <v>46248</v>
      </c>
      <c r="B15" s="4" t="s">
        <v>23</v>
      </c>
      <c r="C15" s="7">
        <f t="shared" si="4"/>
        <v>11</v>
      </c>
      <c r="D15" s="73" t="s">
        <v>34</v>
      </c>
      <c r="E15" s="73" t="s">
        <v>34</v>
      </c>
      <c r="F15" s="73"/>
      <c r="G15" s="18"/>
      <c r="H15" s="73"/>
      <c r="I15" s="73"/>
      <c r="J15" s="73"/>
      <c r="L15" s="19" t="s">
        <v>122</v>
      </c>
      <c r="M15" s="19"/>
      <c r="N15" s="36" t="s">
        <v>143</v>
      </c>
      <c r="O15" s="39">
        <v>2</v>
      </c>
      <c r="P15" s="55">
        <f t="shared" si="0"/>
        <v>24</v>
      </c>
      <c r="Q15" s="55">
        <f t="shared" si="1"/>
        <v>30</v>
      </c>
      <c r="R15" s="76" t="s">
        <v>66</v>
      </c>
      <c r="S15" s="29">
        <f>COUNTIF($D$4:$J$144,"GSCM")</f>
        <v>0</v>
      </c>
      <c r="T15" s="29">
        <f t="shared" si="2"/>
        <v>24</v>
      </c>
    </row>
    <row r="16" spans="1:20">
      <c r="A16" s="24">
        <v>46249</v>
      </c>
      <c r="B16" s="4" t="s">
        <v>24</v>
      </c>
      <c r="C16" s="9" t="s">
        <v>33</v>
      </c>
      <c r="D16" s="73"/>
      <c r="E16" s="73"/>
      <c r="F16" s="73"/>
      <c r="G16" s="18"/>
      <c r="H16" s="73"/>
      <c r="I16" s="73"/>
      <c r="J16" s="73"/>
      <c r="L16" s="19"/>
      <c r="M16" s="19"/>
      <c r="N16" s="37" t="s">
        <v>35</v>
      </c>
      <c r="O16" s="70">
        <v>4</v>
      </c>
      <c r="P16" s="55">
        <f t="shared" ref="P16:P27" si="5">Q16/1.25</f>
        <v>48</v>
      </c>
      <c r="Q16" s="55">
        <f t="shared" ref="Q16:Q27" si="6">O16*15</f>
        <v>60</v>
      </c>
      <c r="R16" s="56"/>
      <c r="S16" s="29">
        <f>COUNTIF($D$4:$J$144,"WAAL")</f>
        <v>0</v>
      </c>
      <c r="T16" s="29">
        <f t="shared" ref="T16:T27" si="7">P16-S16</f>
        <v>48</v>
      </c>
    </row>
    <row r="17" spans="1:20">
      <c r="A17" s="24">
        <v>46250</v>
      </c>
      <c r="B17" s="4" t="s">
        <v>25</v>
      </c>
      <c r="C17" s="9"/>
      <c r="D17" s="21"/>
      <c r="E17" s="21"/>
      <c r="F17" s="22"/>
      <c r="G17" s="6"/>
      <c r="H17" s="22"/>
      <c r="I17" s="21"/>
      <c r="J17" s="75"/>
      <c r="L17" s="19" t="s">
        <v>123</v>
      </c>
      <c r="M17" s="19"/>
      <c r="N17" s="37" t="s">
        <v>144</v>
      </c>
      <c r="O17" s="72">
        <v>2</v>
      </c>
      <c r="P17" s="55">
        <f t="shared" si="5"/>
        <v>24</v>
      </c>
      <c r="Q17" s="55">
        <f t="shared" si="6"/>
        <v>30</v>
      </c>
      <c r="R17" s="56"/>
      <c r="S17" s="29">
        <f>COUNTIF($D$4:$J$144,"GTO")</f>
        <v>0</v>
      </c>
      <c r="T17" s="29">
        <f t="shared" si="7"/>
        <v>24</v>
      </c>
    </row>
    <row r="18" spans="1:20">
      <c r="A18" s="24">
        <v>46251</v>
      </c>
      <c r="B18" s="4" t="s">
        <v>19</v>
      </c>
      <c r="C18" s="9">
        <f>C15+1</f>
        <v>12</v>
      </c>
      <c r="D18" s="61" t="s">
        <v>96</v>
      </c>
      <c r="E18" s="16" t="s">
        <v>119</v>
      </c>
      <c r="F18" s="4" t="s">
        <v>97</v>
      </c>
      <c r="G18" s="18"/>
      <c r="H18" s="15" t="s">
        <v>203</v>
      </c>
      <c r="I18" s="16" t="s">
        <v>98</v>
      </c>
      <c r="J18" s="61" t="s">
        <v>94</v>
      </c>
      <c r="K18" s="5" t="s">
        <v>216</v>
      </c>
      <c r="L18" s="19" t="s">
        <v>89</v>
      </c>
      <c r="M18" s="19"/>
      <c r="N18" s="37" t="s">
        <v>145</v>
      </c>
      <c r="O18" s="72">
        <v>2</v>
      </c>
      <c r="P18" s="55">
        <f t="shared" si="5"/>
        <v>24</v>
      </c>
      <c r="Q18" s="55">
        <f t="shared" si="6"/>
        <v>30</v>
      </c>
      <c r="R18" s="56" t="s">
        <v>80</v>
      </c>
      <c r="S18" s="29">
        <f>COUNTIF($D$4:$J$144,"RSCM")</f>
        <v>0</v>
      </c>
      <c r="T18" s="29">
        <f t="shared" si="7"/>
        <v>24</v>
      </c>
    </row>
    <row r="19" spans="1:20" ht="25.5">
      <c r="A19" s="24">
        <v>46252</v>
      </c>
      <c r="B19" s="4" t="s">
        <v>20</v>
      </c>
      <c r="C19" s="9">
        <f>C18+1</f>
        <v>13</v>
      </c>
      <c r="D19" s="61" t="s">
        <v>28</v>
      </c>
      <c r="E19" s="16" t="s">
        <v>175</v>
      </c>
      <c r="F19" s="16" t="s">
        <v>187</v>
      </c>
      <c r="G19" s="18"/>
      <c r="H19" s="16" t="s">
        <v>190</v>
      </c>
      <c r="I19" s="16" t="s">
        <v>83</v>
      </c>
      <c r="J19" s="61" t="s">
        <v>93</v>
      </c>
      <c r="K19" s="5" t="s">
        <v>218</v>
      </c>
      <c r="L19" s="64" t="s">
        <v>90</v>
      </c>
      <c r="M19" s="64"/>
      <c r="N19" s="65" t="s">
        <v>146</v>
      </c>
      <c r="O19" s="66">
        <v>2</v>
      </c>
      <c r="P19" s="67">
        <f t="shared" si="5"/>
        <v>24</v>
      </c>
      <c r="Q19" s="67">
        <f t="shared" si="6"/>
        <v>30</v>
      </c>
      <c r="R19" s="68" t="s">
        <v>30</v>
      </c>
      <c r="S19" s="69">
        <f>COUNTIF($D$4:$J$144,"IHRM")</f>
        <v>0</v>
      </c>
      <c r="T19" s="69">
        <f t="shared" si="7"/>
        <v>24</v>
      </c>
    </row>
    <row r="20" spans="1:20" ht="25.5">
      <c r="A20" s="24">
        <v>46253</v>
      </c>
      <c r="B20" s="4" t="s">
        <v>21</v>
      </c>
      <c r="C20" s="9">
        <f t="shared" ref="C20:C23" si="8">C19+1</f>
        <v>14</v>
      </c>
      <c r="D20" s="17" t="s">
        <v>126</v>
      </c>
      <c r="E20" s="4" t="s">
        <v>95</v>
      </c>
      <c r="F20" s="17" t="s">
        <v>178</v>
      </c>
      <c r="G20" s="18"/>
      <c r="H20" s="16" t="s">
        <v>191</v>
      </c>
      <c r="I20" s="16" t="s">
        <v>184</v>
      </c>
      <c r="J20" s="61" t="s">
        <v>118</v>
      </c>
      <c r="L20" s="19" t="s">
        <v>124</v>
      </c>
      <c r="M20" s="19"/>
      <c r="N20" s="36" t="s">
        <v>147</v>
      </c>
      <c r="O20" s="41">
        <v>2</v>
      </c>
      <c r="P20" s="55">
        <f t="shared" si="5"/>
        <v>24</v>
      </c>
      <c r="Q20" s="55">
        <f t="shared" si="6"/>
        <v>30</v>
      </c>
      <c r="R20" s="56" t="s">
        <v>69</v>
      </c>
      <c r="S20" s="29">
        <f>COUNTIF($D$4:$J$144,"LEI")</f>
        <v>0</v>
      </c>
      <c r="T20" s="29">
        <f t="shared" si="7"/>
        <v>24</v>
      </c>
    </row>
    <row r="21" spans="1:20" ht="25.5">
      <c r="A21" s="24">
        <v>46254</v>
      </c>
      <c r="B21" s="4" t="s">
        <v>22</v>
      </c>
      <c r="C21" s="9">
        <f t="shared" si="8"/>
        <v>15</v>
      </c>
      <c r="D21" s="4" t="s">
        <v>116</v>
      </c>
      <c r="E21" s="17" t="s">
        <v>183</v>
      </c>
      <c r="F21" s="16" t="s">
        <v>26</v>
      </c>
      <c r="G21" s="18"/>
      <c r="H21" s="16" t="s">
        <v>202</v>
      </c>
      <c r="I21" s="16" t="s">
        <v>192</v>
      </c>
      <c r="J21" s="61" t="s">
        <v>120</v>
      </c>
      <c r="L21" s="19" t="s">
        <v>91</v>
      </c>
      <c r="M21" s="19"/>
      <c r="N21" s="36" t="s">
        <v>36</v>
      </c>
      <c r="O21" s="39">
        <v>2</v>
      </c>
      <c r="P21" s="55">
        <f t="shared" si="5"/>
        <v>24</v>
      </c>
      <c r="Q21" s="55">
        <f t="shared" si="6"/>
        <v>30</v>
      </c>
      <c r="R21" s="56" t="s">
        <v>193</v>
      </c>
      <c r="S21" s="29">
        <f>COUNTIF($D$4:$J$144,"CRP3")</f>
        <v>9</v>
      </c>
      <c r="T21" s="29">
        <f t="shared" si="7"/>
        <v>15</v>
      </c>
    </row>
    <row r="22" spans="1:20">
      <c r="A22" s="24">
        <v>46255</v>
      </c>
      <c r="B22" s="4" t="s">
        <v>23</v>
      </c>
      <c r="C22" s="9">
        <f t="shared" si="8"/>
        <v>16</v>
      </c>
      <c r="D22" s="73" t="s">
        <v>34</v>
      </c>
      <c r="E22" s="73" t="s">
        <v>34</v>
      </c>
      <c r="F22" s="73" t="s">
        <v>44</v>
      </c>
      <c r="G22" s="18"/>
      <c r="H22" s="73" t="s">
        <v>134</v>
      </c>
      <c r="I22" s="73" t="s">
        <v>134</v>
      </c>
      <c r="J22" s="73" t="s">
        <v>134</v>
      </c>
      <c r="L22" s="19" t="s">
        <v>125</v>
      </c>
      <c r="M22" s="19"/>
      <c r="N22" s="36" t="s">
        <v>148</v>
      </c>
      <c r="O22" s="39">
        <v>2</v>
      </c>
      <c r="P22" s="55">
        <f t="shared" si="5"/>
        <v>24</v>
      </c>
      <c r="Q22" s="55">
        <f t="shared" si="6"/>
        <v>30</v>
      </c>
      <c r="R22" s="56" t="s">
        <v>130</v>
      </c>
      <c r="S22" s="29">
        <f>COUNTIF($D$4:$J$144,"NEG")</f>
        <v>0</v>
      </c>
      <c r="T22" s="29">
        <f t="shared" si="7"/>
        <v>24</v>
      </c>
    </row>
    <row r="23" spans="1:20">
      <c r="A23" s="24">
        <v>46256</v>
      </c>
      <c r="B23" s="4" t="s">
        <v>24</v>
      </c>
      <c r="C23" s="9">
        <f t="shared" si="8"/>
        <v>17</v>
      </c>
      <c r="D23" s="73" t="s">
        <v>32</v>
      </c>
      <c r="E23" s="73" t="s">
        <v>32</v>
      </c>
      <c r="F23" s="73"/>
      <c r="G23" s="18"/>
      <c r="H23" s="73"/>
      <c r="I23" s="73"/>
      <c r="J23" s="73"/>
      <c r="L23" s="32" t="s">
        <v>92</v>
      </c>
      <c r="M23" s="32"/>
      <c r="N23" s="62" t="s">
        <v>149</v>
      </c>
      <c r="O23" s="39">
        <v>2</v>
      </c>
      <c r="P23" s="55">
        <f t="shared" si="5"/>
        <v>24</v>
      </c>
      <c r="Q23" s="55">
        <f t="shared" si="6"/>
        <v>30</v>
      </c>
      <c r="R23" s="56" t="s">
        <v>70</v>
      </c>
      <c r="S23" s="29">
        <f>COUNTIF($D$4:$J$144,"SHRM")</f>
        <v>0</v>
      </c>
      <c r="T23" s="29">
        <f t="shared" si="7"/>
        <v>24</v>
      </c>
    </row>
    <row r="24" spans="1:20">
      <c r="A24" s="24">
        <v>46257</v>
      </c>
      <c r="B24" s="4" t="s">
        <v>25</v>
      </c>
      <c r="C24" s="9"/>
      <c r="D24" s="21"/>
      <c r="E24" s="21"/>
      <c r="F24" s="22"/>
      <c r="G24" s="6"/>
      <c r="H24" s="22"/>
      <c r="I24" s="21"/>
      <c r="J24" s="75"/>
      <c r="L24" s="19" t="s">
        <v>29</v>
      </c>
      <c r="M24" s="19"/>
      <c r="N24" s="37" t="s">
        <v>150</v>
      </c>
      <c r="O24" s="74">
        <v>2</v>
      </c>
      <c r="P24" s="55">
        <f t="shared" si="5"/>
        <v>24</v>
      </c>
      <c r="Q24" s="55">
        <f t="shared" si="6"/>
        <v>30</v>
      </c>
      <c r="R24" s="56" t="s">
        <v>71</v>
      </c>
      <c r="S24" s="29">
        <f>COUNTIF($D$4:$J$144,"CABA")</f>
        <v>0</v>
      </c>
      <c r="T24" s="29">
        <f t="shared" si="7"/>
        <v>24</v>
      </c>
    </row>
    <row r="25" spans="1:20">
      <c r="A25" s="5"/>
      <c r="D25" s="5"/>
      <c r="E25" s="5"/>
      <c r="F25" s="5"/>
      <c r="G25" s="5"/>
      <c r="H25" s="5"/>
      <c r="I25" s="5"/>
      <c r="J25" s="5"/>
      <c r="L25" s="19" t="s">
        <v>114</v>
      </c>
      <c r="M25" s="19"/>
      <c r="N25" s="37" t="s">
        <v>151</v>
      </c>
      <c r="O25" s="74">
        <v>2</v>
      </c>
      <c r="P25" s="55">
        <f t="shared" si="5"/>
        <v>24</v>
      </c>
      <c r="Q25" s="55">
        <f t="shared" si="6"/>
        <v>30</v>
      </c>
      <c r="R25" s="56" t="s">
        <v>130</v>
      </c>
      <c r="S25" s="29">
        <f>COUNTIF($D$4:$J$144,"DABA")</f>
        <v>0</v>
      </c>
      <c r="T25" s="29">
        <f t="shared" si="7"/>
        <v>24</v>
      </c>
    </row>
    <row r="26" spans="1:20">
      <c r="A26" s="5"/>
      <c r="D26" s="5"/>
      <c r="E26" s="5"/>
      <c r="F26" s="5"/>
      <c r="G26" s="5"/>
      <c r="H26" s="5"/>
      <c r="I26" s="5"/>
      <c r="J26" s="5"/>
      <c r="L26" s="19" t="s">
        <v>179</v>
      </c>
      <c r="M26" s="19"/>
      <c r="N26" s="71" t="s">
        <v>180</v>
      </c>
      <c r="O26" s="74">
        <v>2</v>
      </c>
      <c r="P26" s="55">
        <f t="shared" si="5"/>
        <v>24</v>
      </c>
      <c r="Q26" s="55">
        <f t="shared" si="6"/>
        <v>30</v>
      </c>
      <c r="R26" s="37" t="s">
        <v>201</v>
      </c>
      <c r="S26" s="29">
        <f>COUNTIF($D$4:$J$144,"DABA")</f>
        <v>0</v>
      </c>
      <c r="T26" s="29">
        <f t="shared" si="7"/>
        <v>24</v>
      </c>
    </row>
    <row r="27" spans="1:20">
      <c r="A27" s="5"/>
      <c r="D27" s="5"/>
      <c r="E27" s="5"/>
      <c r="F27" s="5"/>
      <c r="G27" s="5"/>
      <c r="H27" s="5"/>
      <c r="I27" s="5"/>
      <c r="J27" s="5"/>
      <c r="L27" s="19" t="s">
        <v>93</v>
      </c>
      <c r="M27" s="19"/>
      <c r="N27" s="37" t="s">
        <v>152</v>
      </c>
      <c r="O27" s="74">
        <v>2</v>
      </c>
      <c r="P27" s="55">
        <f t="shared" si="5"/>
        <v>24</v>
      </c>
      <c r="Q27" s="55">
        <f t="shared" si="6"/>
        <v>30</v>
      </c>
      <c r="R27" s="56" t="s">
        <v>72</v>
      </c>
      <c r="S27" s="29">
        <f>COUNTIF($D$4:$J$144,"BI")</f>
        <v>3</v>
      </c>
      <c r="T27" s="29">
        <f t="shared" si="7"/>
        <v>21</v>
      </c>
    </row>
    <row r="28" spans="1:20">
      <c r="A28" s="5"/>
      <c r="D28" s="5"/>
      <c r="E28" s="5"/>
      <c r="F28" s="5"/>
      <c r="G28" s="5"/>
      <c r="H28" s="5"/>
      <c r="I28" s="5"/>
      <c r="J28" s="5"/>
      <c r="L28" s="19" t="s">
        <v>94</v>
      </c>
      <c r="M28" s="19"/>
      <c r="N28" s="37" t="s">
        <v>153</v>
      </c>
      <c r="O28" s="74">
        <v>2</v>
      </c>
      <c r="P28" s="55">
        <f t="shared" ref="P28:P40" si="9">Q28/1.25</f>
        <v>24</v>
      </c>
      <c r="Q28" s="55">
        <f t="shared" ref="Q28:Q40" si="10">O28*15</f>
        <v>30</v>
      </c>
      <c r="R28" s="56" t="s">
        <v>73</v>
      </c>
      <c r="S28" s="29">
        <f t="shared" ref="S28:S65" si="11">COUNTIF($D$4:$J$144,"TA")</f>
        <v>0</v>
      </c>
      <c r="T28" s="29">
        <f t="shared" ref="T28:T40" si="12">P28-S28</f>
        <v>24</v>
      </c>
    </row>
    <row r="29" spans="1:20">
      <c r="A29" s="5"/>
      <c r="D29" s="5"/>
      <c r="E29" s="5"/>
      <c r="F29" s="5"/>
      <c r="G29" s="5"/>
      <c r="H29" s="5"/>
      <c r="I29" s="5"/>
      <c r="J29" s="5"/>
      <c r="L29" s="64" t="s">
        <v>115</v>
      </c>
      <c r="M29" s="64"/>
      <c r="N29" s="65" t="s">
        <v>154</v>
      </c>
      <c r="O29" s="39">
        <v>2</v>
      </c>
      <c r="P29" s="55">
        <f t="shared" si="9"/>
        <v>24</v>
      </c>
      <c r="Q29" s="55">
        <f t="shared" si="10"/>
        <v>30</v>
      </c>
      <c r="R29" s="56" t="s">
        <v>131</v>
      </c>
      <c r="S29" s="29">
        <f t="shared" si="11"/>
        <v>0</v>
      </c>
      <c r="T29" s="29">
        <f t="shared" si="12"/>
        <v>24</v>
      </c>
    </row>
    <row r="30" spans="1:20">
      <c r="A30" s="5"/>
      <c r="D30" s="5"/>
      <c r="E30" s="5"/>
      <c r="F30" s="5"/>
      <c r="G30" s="5"/>
      <c r="H30" s="5"/>
      <c r="I30" s="5"/>
      <c r="J30" s="5"/>
      <c r="L30" s="19" t="s">
        <v>118</v>
      </c>
      <c r="M30" s="19"/>
      <c r="N30" s="36" t="s">
        <v>155</v>
      </c>
      <c r="O30" s="39">
        <v>2</v>
      </c>
      <c r="P30" s="55">
        <f t="shared" si="9"/>
        <v>24</v>
      </c>
      <c r="Q30" s="55">
        <f t="shared" si="10"/>
        <v>30</v>
      </c>
      <c r="R30" s="56" t="s">
        <v>63</v>
      </c>
      <c r="S30" s="29">
        <f t="shared" si="11"/>
        <v>0</v>
      </c>
      <c r="T30" s="29">
        <f t="shared" si="12"/>
        <v>24</v>
      </c>
    </row>
    <row r="31" spans="1:20">
      <c r="A31" s="5"/>
      <c r="D31" s="5"/>
      <c r="E31" s="5"/>
      <c r="F31" s="5"/>
      <c r="G31" s="5"/>
      <c r="H31" s="5"/>
      <c r="I31" s="5"/>
      <c r="J31" s="5"/>
      <c r="L31" s="19" t="s">
        <v>95</v>
      </c>
      <c r="M31" s="19"/>
      <c r="N31" s="36" t="s">
        <v>156</v>
      </c>
      <c r="O31" s="39">
        <v>2</v>
      </c>
      <c r="P31" s="55">
        <f t="shared" si="9"/>
        <v>24</v>
      </c>
      <c r="Q31" s="55">
        <f t="shared" si="10"/>
        <v>30</v>
      </c>
      <c r="R31" s="76" t="s">
        <v>189</v>
      </c>
      <c r="S31" s="29">
        <f t="shared" si="11"/>
        <v>0</v>
      </c>
      <c r="T31" s="29">
        <f t="shared" si="12"/>
        <v>24</v>
      </c>
    </row>
    <row r="32" spans="1:20">
      <c r="A32" s="5"/>
      <c r="D32" s="5"/>
      <c r="E32" s="5"/>
      <c r="F32" s="5"/>
      <c r="G32" s="5"/>
      <c r="H32" s="5"/>
      <c r="I32" s="5"/>
      <c r="J32" s="5"/>
      <c r="L32" s="19" t="s">
        <v>126</v>
      </c>
      <c r="M32" s="19"/>
      <c r="N32" s="36" t="s">
        <v>157</v>
      </c>
      <c r="O32" s="39">
        <v>2</v>
      </c>
      <c r="P32" s="55">
        <f t="shared" si="9"/>
        <v>24</v>
      </c>
      <c r="Q32" s="55">
        <f t="shared" si="10"/>
        <v>30</v>
      </c>
      <c r="R32" s="56" t="s">
        <v>59</v>
      </c>
      <c r="S32" s="29">
        <f t="shared" si="11"/>
        <v>0</v>
      </c>
      <c r="T32" s="29">
        <f t="shared" si="12"/>
        <v>24</v>
      </c>
    </row>
    <row r="33" spans="1:20">
      <c r="A33" s="5"/>
      <c r="D33" s="5"/>
      <c r="E33" s="5"/>
      <c r="F33" s="5"/>
      <c r="G33" s="5"/>
      <c r="H33" s="5"/>
      <c r="I33" s="5"/>
      <c r="J33" s="5"/>
      <c r="L33" s="19" t="s">
        <v>116</v>
      </c>
      <c r="M33" s="19"/>
      <c r="N33" s="36" t="s">
        <v>158</v>
      </c>
      <c r="O33" s="39">
        <v>2</v>
      </c>
      <c r="P33" s="55">
        <f t="shared" si="9"/>
        <v>24</v>
      </c>
      <c r="Q33" s="55">
        <f t="shared" si="10"/>
        <v>30</v>
      </c>
      <c r="R33" s="56" t="s">
        <v>60</v>
      </c>
      <c r="S33" s="29">
        <f t="shared" si="11"/>
        <v>0</v>
      </c>
      <c r="T33" s="29">
        <f t="shared" si="12"/>
        <v>24</v>
      </c>
    </row>
    <row r="34" spans="1:20">
      <c r="A34" s="5"/>
      <c r="D34" s="5"/>
      <c r="E34" s="5"/>
      <c r="F34" s="5"/>
      <c r="G34" s="5"/>
      <c r="H34" s="5"/>
      <c r="I34" s="5"/>
      <c r="J34" s="5"/>
      <c r="L34" s="19" t="s">
        <v>96</v>
      </c>
      <c r="M34" s="19"/>
      <c r="N34" s="36" t="s">
        <v>159</v>
      </c>
      <c r="O34" s="39">
        <v>2</v>
      </c>
      <c r="P34" s="55">
        <f t="shared" si="9"/>
        <v>24</v>
      </c>
      <c r="Q34" s="55">
        <f t="shared" si="10"/>
        <v>30</v>
      </c>
      <c r="R34" s="56" t="s">
        <v>27</v>
      </c>
      <c r="S34" s="29">
        <f t="shared" si="11"/>
        <v>0</v>
      </c>
      <c r="T34" s="29">
        <f t="shared" si="12"/>
        <v>24</v>
      </c>
    </row>
    <row r="35" spans="1:20">
      <c r="A35" s="5"/>
      <c r="D35" s="5"/>
      <c r="E35" s="5"/>
      <c r="F35" s="5"/>
      <c r="G35" s="5"/>
      <c r="H35" s="5"/>
      <c r="I35" s="5"/>
      <c r="J35" s="5"/>
      <c r="L35" s="19" t="s">
        <v>119</v>
      </c>
      <c r="M35" s="19"/>
      <c r="N35" s="36" t="s">
        <v>160</v>
      </c>
      <c r="O35" s="39">
        <v>2</v>
      </c>
      <c r="P35" s="55">
        <f t="shared" si="9"/>
        <v>24</v>
      </c>
      <c r="Q35" s="55">
        <f t="shared" si="10"/>
        <v>30</v>
      </c>
      <c r="R35" s="56" t="s">
        <v>30</v>
      </c>
      <c r="S35" s="29">
        <f t="shared" si="11"/>
        <v>0</v>
      </c>
      <c r="T35" s="29">
        <f t="shared" si="12"/>
        <v>24</v>
      </c>
    </row>
    <row r="36" spans="1:20">
      <c r="A36" s="5"/>
      <c r="D36" s="5"/>
      <c r="E36" s="5"/>
      <c r="F36" s="5"/>
      <c r="G36" s="5"/>
      <c r="H36" s="5"/>
      <c r="I36" s="5"/>
      <c r="J36" s="5"/>
      <c r="L36" s="19" t="s">
        <v>26</v>
      </c>
      <c r="M36" s="19"/>
      <c r="N36" s="36" t="s">
        <v>161</v>
      </c>
      <c r="O36" s="39">
        <v>2</v>
      </c>
      <c r="P36" s="55">
        <f t="shared" si="9"/>
        <v>24</v>
      </c>
      <c r="Q36" s="55">
        <f t="shared" si="10"/>
        <v>30</v>
      </c>
      <c r="R36" s="56" t="s">
        <v>186</v>
      </c>
      <c r="S36" s="29">
        <f t="shared" si="11"/>
        <v>0</v>
      </c>
      <c r="T36" s="29">
        <f t="shared" si="12"/>
        <v>24</v>
      </c>
    </row>
    <row r="37" spans="1:20">
      <c r="A37" s="5"/>
      <c r="D37" s="5"/>
      <c r="E37" s="5"/>
      <c r="F37" s="5"/>
      <c r="G37" s="5"/>
      <c r="H37" s="5"/>
      <c r="I37" s="5"/>
      <c r="J37" s="5"/>
      <c r="L37" s="19" t="s">
        <v>97</v>
      </c>
      <c r="M37" s="19"/>
      <c r="N37" s="36" t="s">
        <v>162</v>
      </c>
      <c r="O37" s="39">
        <v>2</v>
      </c>
      <c r="P37" s="55">
        <f t="shared" si="9"/>
        <v>24</v>
      </c>
      <c r="Q37" s="55">
        <f t="shared" si="10"/>
        <v>30</v>
      </c>
      <c r="R37" s="56" t="s">
        <v>74</v>
      </c>
      <c r="S37" s="29">
        <f t="shared" si="11"/>
        <v>0</v>
      </c>
      <c r="T37" s="29">
        <f t="shared" si="12"/>
        <v>24</v>
      </c>
    </row>
    <row r="38" spans="1:20">
      <c r="A38" s="5"/>
      <c r="D38" s="5"/>
      <c r="E38" s="5"/>
      <c r="F38" s="5"/>
      <c r="G38" s="5"/>
      <c r="H38" s="5"/>
      <c r="I38" s="5"/>
      <c r="J38" s="5"/>
      <c r="L38" s="19" t="s">
        <v>98</v>
      </c>
      <c r="M38" s="19"/>
      <c r="N38" s="36" t="s">
        <v>163</v>
      </c>
      <c r="O38" s="39">
        <v>2</v>
      </c>
      <c r="P38" s="55">
        <f t="shared" si="9"/>
        <v>24</v>
      </c>
      <c r="Q38" s="55">
        <f t="shared" si="10"/>
        <v>30</v>
      </c>
      <c r="R38" s="56" t="s">
        <v>135</v>
      </c>
      <c r="S38" s="29">
        <f t="shared" si="11"/>
        <v>0</v>
      </c>
      <c r="T38" s="29">
        <f t="shared" si="12"/>
        <v>24</v>
      </c>
    </row>
    <row r="39" spans="1:20">
      <c r="A39" s="5"/>
      <c r="D39" s="5"/>
      <c r="E39" s="5"/>
      <c r="F39" s="5"/>
      <c r="G39" s="5"/>
      <c r="H39" s="5"/>
      <c r="I39" s="5"/>
      <c r="J39" s="5"/>
      <c r="L39" s="19" t="s">
        <v>28</v>
      </c>
      <c r="M39" s="19"/>
      <c r="N39" s="36" t="s">
        <v>164</v>
      </c>
      <c r="O39" s="39">
        <v>2</v>
      </c>
      <c r="P39" s="55">
        <f t="shared" si="9"/>
        <v>24</v>
      </c>
      <c r="Q39" s="55">
        <f t="shared" si="10"/>
        <v>30</v>
      </c>
      <c r="R39" s="37" t="s">
        <v>185</v>
      </c>
      <c r="S39" s="29">
        <f t="shared" si="11"/>
        <v>0</v>
      </c>
      <c r="T39" s="29">
        <f t="shared" si="12"/>
        <v>24</v>
      </c>
    </row>
    <row r="40" spans="1:20">
      <c r="A40" s="5"/>
      <c r="D40" s="5"/>
      <c r="E40" s="5"/>
      <c r="F40" s="5"/>
      <c r="G40" s="5"/>
      <c r="H40" s="5"/>
      <c r="I40" s="5"/>
      <c r="J40" s="5"/>
      <c r="L40" s="79"/>
      <c r="M40" s="79"/>
      <c r="N40" s="80" t="s">
        <v>204</v>
      </c>
      <c r="O40" s="81">
        <v>2</v>
      </c>
      <c r="P40" s="82">
        <f t="shared" si="9"/>
        <v>24</v>
      </c>
      <c r="Q40" s="82">
        <f t="shared" si="10"/>
        <v>30</v>
      </c>
      <c r="R40" s="83" t="s">
        <v>211</v>
      </c>
      <c r="S40" s="84">
        <f t="shared" si="11"/>
        <v>0</v>
      </c>
      <c r="T40" s="84">
        <f t="shared" si="12"/>
        <v>24</v>
      </c>
    </row>
    <row r="41" spans="1:20">
      <c r="A41" s="5"/>
      <c r="D41" s="5"/>
      <c r="E41" s="5"/>
      <c r="F41" s="5"/>
      <c r="G41" s="5"/>
      <c r="H41" s="5"/>
      <c r="I41" s="5"/>
      <c r="J41" s="5"/>
      <c r="L41" s="19" t="s">
        <v>127</v>
      </c>
      <c r="M41" s="19"/>
      <c r="N41" s="42" t="s">
        <v>165</v>
      </c>
      <c r="O41" s="41">
        <v>2</v>
      </c>
      <c r="P41" s="55">
        <f t="shared" ref="P41:P60" si="13">Q41/1.25</f>
        <v>24</v>
      </c>
      <c r="Q41" s="55">
        <f t="shared" ref="Q41:Q60" si="14">O41*15</f>
        <v>30</v>
      </c>
      <c r="R41" s="56"/>
      <c r="S41" s="29">
        <f t="shared" si="11"/>
        <v>0</v>
      </c>
      <c r="T41" s="29">
        <f t="shared" ref="T41:T60" si="15">P41-S41</f>
        <v>24</v>
      </c>
    </row>
    <row r="42" spans="1:20">
      <c r="A42" s="5"/>
      <c r="D42" s="5"/>
      <c r="E42" s="5"/>
      <c r="F42" s="5"/>
      <c r="G42" s="5"/>
      <c r="H42" s="5"/>
      <c r="I42" s="5"/>
      <c r="J42" s="5"/>
      <c r="L42" s="19" t="s">
        <v>99</v>
      </c>
      <c r="M42" s="19"/>
      <c r="N42" s="42" t="s">
        <v>166</v>
      </c>
      <c r="O42" s="41">
        <v>2</v>
      </c>
      <c r="P42" s="55">
        <f t="shared" si="13"/>
        <v>24</v>
      </c>
      <c r="Q42" s="55">
        <f t="shared" si="14"/>
        <v>30</v>
      </c>
      <c r="R42" s="56"/>
      <c r="S42" s="29">
        <f t="shared" si="11"/>
        <v>0</v>
      </c>
      <c r="T42" s="29">
        <f t="shared" si="15"/>
        <v>24</v>
      </c>
    </row>
    <row r="43" spans="1:20">
      <c r="A43" s="5"/>
      <c r="D43" s="5"/>
      <c r="E43" s="5"/>
      <c r="F43" s="5"/>
      <c r="G43" s="5"/>
      <c r="H43" s="5"/>
      <c r="I43" s="5"/>
      <c r="J43" s="5"/>
      <c r="L43" s="19" t="s">
        <v>100</v>
      </c>
      <c r="M43" s="19"/>
      <c r="N43" s="42" t="s">
        <v>167</v>
      </c>
      <c r="O43" s="41">
        <v>2</v>
      </c>
      <c r="P43" s="55">
        <f t="shared" si="13"/>
        <v>24</v>
      </c>
      <c r="Q43" s="55">
        <f t="shared" si="14"/>
        <v>30</v>
      </c>
      <c r="R43" s="56"/>
      <c r="S43" s="29">
        <f t="shared" si="11"/>
        <v>0</v>
      </c>
      <c r="T43" s="29">
        <f t="shared" si="15"/>
        <v>24</v>
      </c>
    </row>
    <row r="44" spans="1:20">
      <c r="A44" s="5"/>
      <c r="D44" s="5"/>
      <c r="E44" s="5"/>
      <c r="F44" s="5"/>
      <c r="G44" s="5"/>
      <c r="H44" s="5"/>
      <c r="I44" s="5"/>
      <c r="J44" s="5"/>
      <c r="L44" s="19" t="s">
        <v>101</v>
      </c>
      <c r="M44" s="19"/>
      <c r="N44" s="42" t="s">
        <v>168</v>
      </c>
      <c r="O44" s="41">
        <v>2</v>
      </c>
      <c r="P44" s="55">
        <f t="shared" si="13"/>
        <v>24</v>
      </c>
      <c r="Q44" s="55">
        <f t="shared" si="14"/>
        <v>30</v>
      </c>
      <c r="R44" s="56"/>
      <c r="S44" s="29">
        <f t="shared" si="11"/>
        <v>0</v>
      </c>
      <c r="T44" s="29">
        <f t="shared" si="15"/>
        <v>24</v>
      </c>
    </row>
    <row r="45" spans="1:20">
      <c r="A45" s="5"/>
      <c r="D45" s="5"/>
      <c r="E45" s="5"/>
      <c r="F45" s="5"/>
      <c r="G45" s="5"/>
      <c r="H45" s="5"/>
      <c r="I45" s="5"/>
      <c r="J45" s="5"/>
      <c r="L45" s="19" t="s">
        <v>102</v>
      </c>
      <c r="M45" s="19"/>
      <c r="N45" s="42" t="s">
        <v>169</v>
      </c>
      <c r="O45" s="39">
        <v>2</v>
      </c>
      <c r="P45" s="55">
        <f t="shared" si="13"/>
        <v>24</v>
      </c>
      <c r="Q45" s="55">
        <f t="shared" si="14"/>
        <v>30</v>
      </c>
      <c r="R45" s="56" t="s">
        <v>182</v>
      </c>
      <c r="S45" s="29">
        <f t="shared" si="11"/>
        <v>0</v>
      </c>
      <c r="T45" s="29">
        <f t="shared" si="15"/>
        <v>24</v>
      </c>
    </row>
    <row r="46" spans="1:20">
      <c r="A46" s="5"/>
      <c r="D46" s="5"/>
      <c r="E46" s="5"/>
      <c r="F46" s="5"/>
      <c r="G46" s="5"/>
      <c r="H46" s="5"/>
      <c r="I46" s="5"/>
      <c r="J46" s="5"/>
      <c r="L46" s="19" t="s">
        <v>103</v>
      </c>
      <c r="M46" s="19"/>
      <c r="N46" s="42" t="s">
        <v>170</v>
      </c>
      <c r="O46" s="39">
        <v>2</v>
      </c>
      <c r="P46" s="55">
        <f t="shared" si="13"/>
        <v>24</v>
      </c>
      <c r="Q46" s="55">
        <f t="shared" si="14"/>
        <v>30</v>
      </c>
      <c r="R46" s="56" t="s">
        <v>76</v>
      </c>
      <c r="S46" s="29">
        <f t="shared" si="11"/>
        <v>0</v>
      </c>
      <c r="T46" s="29">
        <f t="shared" si="15"/>
        <v>24</v>
      </c>
    </row>
    <row r="47" spans="1:20">
      <c r="A47" s="5"/>
      <c r="D47" s="5"/>
      <c r="E47" s="5"/>
      <c r="F47" s="5"/>
      <c r="G47" s="5"/>
      <c r="H47" s="5"/>
      <c r="I47" s="5"/>
      <c r="J47" s="5"/>
      <c r="L47" s="19" t="s">
        <v>104</v>
      </c>
      <c r="M47" s="19"/>
      <c r="N47" s="36" t="s">
        <v>171</v>
      </c>
      <c r="O47" s="39">
        <v>2</v>
      </c>
      <c r="P47" s="55">
        <f t="shared" si="13"/>
        <v>24</v>
      </c>
      <c r="Q47" s="55">
        <f t="shared" si="14"/>
        <v>30</v>
      </c>
      <c r="R47" s="56" t="s">
        <v>72</v>
      </c>
      <c r="S47" s="29">
        <f t="shared" si="11"/>
        <v>0</v>
      </c>
      <c r="T47" s="29">
        <f t="shared" si="15"/>
        <v>24</v>
      </c>
    </row>
    <row r="48" spans="1:20">
      <c r="A48" s="5"/>
      <c r="D48" s="5"/>
      <c r="E48" s="5"/>
      <c r="F48" s="5"/>
      <c r="G48" s="5"/>
      <c r="H48" s="5"/>
      <c r="I48" s="5"/>
      <c r="J48" s="5"/>
      <c r="L48" s="19" t="s">
        <v>105</v>
      </c>
      <c r="M48" s="19"/>
      <c r="N48" s="36" t="s">
        <v>172</v>
      </c>
      <c r="O48" s="39">
        <v>2</v>
      </c>
      <c r="P48" s="55">
        <f t="shared" si="13"/>
        <v>24</v>
      </c>
      <c r="Q48" s="55">
        <f t="shared" si="14"/>
        <v>30</v>
      </c>
      <c r="R48" s="56" t="s">
        <v>77</v>
      </c>
      <c r="S48" s="29">
        <f t="shared" si="11"/>
        <v>0</v>
      </c>
      <c r="T48" s="29">
        <f t="shared" si="15"/>
        <v>24</v>
      </c>
    </row>
    <row r="49" spans="1:20">
      <c r="A49" s="5"/>
      <c r="D49" s="5"/>
      <c r="E49" s="5"/>
      <c r="F49" s="5"/>
      <c r="G49" s="5"/>
      <c r="H49" s="5"/>
      <c r="I49" s="5"/>
      <c r="J49" s="5"/>
      <c r="L49" s="19" t="s">
        <v>128</v>
      </c>
      <c r="M49" s="19"/>
      <c r="N49" s="36" t="s">
        <v>173</v>
      </c>
      <c r="O49" s="39">
        <v>2</v>
      </c>
      <c r="P49" s="55">
        <f t="shared" si="13"/>
        <v>24</v>
      </c>
      <c r="Q49" s="55">
        <f t="shared" si="14"/>
        <v>30</v>
      </c>
      <c r="R49" s="56" t="s">
        <v>78</v>
      </c>
      <c r="S49" s="29">
        <f t="shared" si="11"/>
        <v>0</v>
      </c>
      <c r="T49" s="29">
        <f t="shared" si="15"/>
        <v>24</v>
      </c>
    </row>
    <row r="50" spans="1:20">
      <c r="A50" s="5"/>
      <c r="D50" s="5"/>
      <c r="E50" s="5"/>
      <c r="F50" s="5"/>
      <c r="G50" s="5"/>
      <c r="H50" s="5"/>
      <c r="I50" s="5"/>
      <c r="J50" s="5"/>
      <c r="L50" s="19"/>
      <c r="M50" s="19"/>
      <c r="N50" s="36" t="s">
        <v>174</v>
      </c>
      <c r="O50" s="39">
        <v>2</v>
      </c>
      <c r="P50" s="55">
        <f t="shared" si="13"/>
        <v>24</v>
      </c>
      <c r="Q50" s="55">
        <f t="shared" si="14"/>
        <v>30</v>
      </c>
      <c r="R50" s="56" t="s">
        <v>79</v>
      </c>
      <c r="S50" s="29">
        <f t="shared" si="11"/>
        <v>0</v>
      </c>
      <c r="T50" s="29">
        <f t="shared" si="15"/>
        <v>24</v>
      </c>
    </row>
    <row r="51" spans="1:20">
      <c r="A51" s="5"/>
      <c r="D51" s="5"/>
      <c r="E51" s="5"/>
      <c r="F51" s="5"/>
      <c r="G51" s="5"/>
      <c r="H51" s="5"/>
      <c r="I51" s="5"/>
      <c r="J51" s="5"/>
      <c r="L51" s="32"/>
      <c r="M51" s="32" t="s">
        <v>57</v>
      </c>
      <c r="N51" s="43" t="s">
        <v>45</v>
      </c>
      <c r="O51" s="44">
        <v>3</v>
      </c>
      <c r="P51" s="57">
        <f t="shared" si="13"/>
        <v>36</v>
      </c>
      <c r="Q51" s="57">
        <f t="shared" si="14"/>
        <v>45</v>
      </c>
      <c r="R51" s="38" t="s">
        <v>58</v>
      </c>
      <c r="S51" s="30">
        <f t="shared" si="11"/>
        <v>0</v>
      </c>
      <c r="T51" s="30">
        <f t="shared" si="15"/>
        <v>36</v>
      </c>
    </row>
    <row r="52" spans="1:20">
      <c r="A52" s="5"/>
      <c r="D52" s="5"/>
      <c r="E52" s="5"/>
      <c r="F52" s="5"/>
      <c r="G52" s="5"/>
      <c r="H52" s="5"/>
      <c r="I52" s="5"/>
      <c r="J52" s="5"/>
      <c r="L52" s="19"/>
      <c r="M52" s="19" t="s">
        <v>57</v>
      </c>
      <c r="N52" s="45" t="s">
        <v>56</v>
      </c>
      <c r="O52" s="46">
        <v>4</v>
      </c>
      <c r="P52" s="55">
        <f t="shared" si="13"/>
        <v>48</v>
      </c>
      <c r="Q52" s="55">
        <f t="shared" si="14"/>
        <v>60</v>
      </c>
      <c r="R52" s="38"/>
      <c r="S52" s="29">
        <f t="shared" si="11"/>
        <v>0</v>
      </c>
      <c r="T52" s="29">
        <f t="shared" si="15"/>
        <v>48</v>
      </c>
    </row>
    <row r="53" spans="1:20">
      <c r="A53" s="5"/>
      <c r="D53" s="5"/>
      <c r="E53" s="5"/>
      <c r="F53" s="5"/>
      <c r="G53" s="5"/>
      <c r="H53" s="5"/>
      <c r="I53" s="5"/>
      <c r="J53" s="5"/>
      <c r="L53" s="19" t="s">
        <v>126</v>
      </c>
      <c r="M53" s="19" t="s">
        <v>57</v>
      </c>
      <c r="N53" s="47" t="s">
        <v>39</v>
      </c>
      <c r="O53" s="46">
        <v>3</v>
      </c>
      <c r="P53" s="55">
        <f t="shared" si="13"/>
        <v>36</v>
      </c>
      <c r="Q53" s="55">
        <f t="shared" si="14"/>
        <v>45</v>
      </c>
      <c r="R53" s="38" t="s">
        <v>59</v>
      </c>
      <c r="S53" s="29">
        <f t="shared" si="11"/>
        <v>0</v>
      </c>
      <c r="T53" s="29">
        <f t="shared" si="15"/>
        <v>36</v>
      </c>
    </row>
    <row r="54" spans="1:20">
      <c r="A54" s="5"/>
      <c r="D54" s="5"/>
      <c r="E54" s="5"/>
      <c r="F54" s="5"/>
      <c r="G54" s="5"/>
      <c r="H54" s="5"/>
      <c r="I54" s="5"/>
      <c r="J54" s="5"/>
      <c r="L54" s="19" t="s">
        <v>116</v>
      </c>
      <c r="M54" s="19" t="s">
        <v>57</v>
      </c>
      <c r="N54" s="47" t="s">
        <v>40</v>
      </c>
      <c r="O54" s="46">
        <v>3</v>
      </c>
      <c r="P54" s="55">
        <f t="shared" si="13"/>
        <v>36</v>
      </c>
      <c r="Q54" s="55">
        <f t="shared" si="14"/>
        <v>45</v>
      </c>
      <c r="R54" s="38" t="s">
        <v>60</v>
      </c>
      <c r="S54" s="29">
        <f t="shared" si="11"/>
        <v>0</v>
      </c>
      <c r="T54" s="29">
        <f t="shared" si="15"/>
        <v>36</v>
      </c>
    </row>
    <row r="55" spans="1:20">
      <c r="A55" s="5"/>
      <c r="D55" s="5"/>
      <c r="E55" s="5"/>
      <c r="F55" s="5"/>
      <c r="G55" s="5"/>
      <c r="H55" s="5"/>
      <c r="I55" s="5"/>
      <c r="J55" s="5"/>
      <c r="L55" s="19" t="s">
        <v>106</v>
      </c>
      <c r="M55" s="19" t="s">
        <v>57</v>
      </c>
      <c r="N55" s="47" t="s">
        <v>46</v>
      </c>
      <c r="O55" s="46">
        <v>3</v>
      </c>
      <c r="P55" s="55">
        <f t="shared" si="13"/>
        <v>36</v>
      </c>
      <c r="Q55" s="55">
        <f t="shared" si="14"/>
        <v>45</v>
      </c>
      <c r="R55" s="38" t="s">
        <v>61</v>
      </c>
      <c r="S55" s="29">
        <f t="shared" si="11"/>
        <v>0</v>
      </c>
      <c r="T55" s="29">
        <f t="shared" si="15"/>
        <v>36</v>
      </c>
    </row>
    <row r="56" spans="1:20">
      <c r="A56" s="5"/>
      <c r="D56" s="5"/>
      <c r="E56" s="5"/>
      <c r="F56" s="5"/>
      <c r="G56" s="5"/>
      <c r="H56" s="5"/>
      <c r="I56" s="5"/>
      <c r="J56" s="5"/>
      <c r="L56" s="19" t="s">
        <v>107</v>
      </c>
      <c r="M56" s="19" t="s">
        <v>57</v>
      </c>
      <c r="N56" s="47" t="s">
        <v>47</v>
      </c>
      <c r="O56" s="46">
        <v>3</v>
      </c>
      <c r="P56" s="55">
        <f t="shared" si="13"/>
        <v>36</v>
      </c>
      <c r="Q56" s="55">
        <f t="shared" si="14"/>
        <v>45</v>
      </c>
      <c r="R56" s="38" t="s">
        <v>61</v>
      </c>
      <c r="S56" s="29">
        <f t="shared" si="11"/>
        <v>0</v>
      </c>
      <c r="T56" s="29">
        <f t="shared" si="15"/>
        <v>36</v>
      </c>
    </row>
    <row r="57" spans="1:20">
      <c r="A57" s="5"/>
      <c r="D57" s="5"/>
      <c r="E57" s="5"/>
      <c r="F57" s="5"/>
      <c r="G57" s="5"/>
      <c r="H57" s="5"/>
      <c r="I57" s="5"/>
      <c r="J57" s="5"/>
      <c r="L57" s="19" t="s">
        <v>108</v>
      </c>
      <c r="M57" s="19" t="s">
        <v>57</v>
      </c>
      <c r="N57" s="45" t="s">
        <v>48</v>
      </c>
      <c r="O57" s="46">
        <v>3</v>
      </c>
      <c r="P57" s="55">
        <f t="shared" si="13"/>
        <v>36</v>
      </c>
      <c r="Q57" s="55">
        <f t="shared" si="14"/>
        <v>45</v>
      </c>
      <c r="R57" s="38" t="s">
        <v>62</v>
      </c>
      <c r="S57" s="29">
        <f t="shared" si="11"/>
        <v>0</v>
      </c>
      <c r="T57" s="29">
        <f t="shared" si="15"/>
        <v>36</v>
      </c>
    </row>
    <row r="58" spans="1:20">
      <c r="A58" s="5"/>
      <c r="D58" s="5"/>
      <c r="E58" s="5"/>
      <c r="F58" s="5"/>
      <c r="G58" s="5"/>
      <c r="H58" s="5"/>
      <c r="I58" s="5"/>
      <c r="J58" s="5"/>
      <c r="L58" s="19" t="s">
        <v>118</v>
      </c>
      <c r="M58" s="19" t="s">
        <v>57</v>
      </c>
      <c r="N58" s="45" t="s">
        <v>38</v>
      </c>
      <c r="O58" s="46">
        <v>3</v>
      </c>
      <c r="P58" s="55">
        <f t="shared" si="13"/>
        <v>36</v>
      </c>
      <c r="Q58" s="55">
        <f t="shared" si="14"/>
        <v>45</v>
      </c>
      <c r="R58" s="38" t="s">
        <v>63</v>
      </c>
      <c r="S58" s="29">
        <f t="shared" si="11"/>
        <v>0</v>
      </c>
      <c r="T58" s="29">
        <f t="shared" si="15"/>
        <v>36</v>
      </c>
    </row>
    <row r="59" spans="1:20">
      <c r="A59" s="5"/>
      <c r="D59" s="5"/>
      <c r="E59" s="5"/>
      <c r="F59" s="5"/>
      <c r="G59" s="5"/>
      <c r="H59" s="5"/>
      <c r="I59" s="5"/>
      <c r="J59" s="5"/>
      <c r="L59" s="19" t="s">
        <v>115</v>
      </c>
      <c r="M59" s="19" t="s">
        <v>57</v>
      </c>
      <c r="N59" s="45" t="s">
        <v>37</v>
      </c>
      <c r="O59" s="46">
        <v>3</v>
      </c>
      <c r="P59" s="55">
        <f t="shared" si="13"/>
        <v>36</v>
      </c>
      <c r="Q59" s="55">
        <f t="shared" si="14"/>
        <v>45</v>
      </c>
      <c r="R59" s="38" t="s">
        <v>131</v>
      </c>
      <c r="S59" s="29">
        <f t="shared" si="11"/>
        <v>0</v>
      </c>
      <c r="T59" s="29">
        <f t="shared" si="15"/>
        <v>36</v>
      </c>
    </row>
    <row r="60" spans="1:20">
      <c r="A60" s="5"/>
      <c r="D60" s="5"/>
      <c r="E60" s="5"/>
      <c r="F60" s="5"/>
      <c r="G60" s="5"/>
      <c r="H60" s="5"/>
      <c r="I60" s="5"/>
      <c r="J60" s="5"/>
      <c r="L60" s="19" t="s">
        <v>109</v>
      </c>
      <c r="M60" s="19" t="s">
        <v>57</v>
      </c>
      <c r="N60" s="45" t="s">
        <v>49</v>
      </c>
      <c r="O60" s="46">
        <v>3</v>
      </c>
      <c r="P60" s="55">
        <f t="shared" si="13"/>
        <v>36</v>
      </c>
      <c r="Q60" s="55">
        <f t="shared" si="14"/>
        <v>45</v>
      </c>
      <c r="R60" s="38" t="s">
        <v>61</v>
      </c>
      <c r="S60" s="29">
        <f t="shared" si="11"/>
        <v>0</v>
      </c>
      <c r="T60" s="29">
        <f t="shared" si="15"/>
        <v>36</v>
      </c>
    </row>
    <row r="61" spans="1:20">
      <c r="A61" s="5"/>
      <c r="D61" s="5"/>
      <c r="E61" s="5"/>
      <c r="F61" s="5"/>
      <c r="G61" s="5"/>
      <c r="H61" s="5"/>
      <c r="I61" s="5"/>
      <c r="J61" s="5"/>
      <c r="L61" s="19" t="s">
        <v>110</v>
      </c>
      <c r="M61" s="19" t="s">
        <v>57</v>
      </c>
      <c r="N61" s="47" t="s">
        <v>50</v>
      </c>
      <c r="O61" s="46">
        <v>3</v>
      </c>
      <c r="P61" s="55">
        <f t="shared" ref="P61:P65" si="16">Q61/1.25</f>
        <v>36</v>
      </c>
      <c r="Q61" s="55">
        <f t="shared" ref="Q61:Q65" si="17">O61*15</f>
        <v>45</v>
      </c>
      <c r="R61" s="38" t="s">
        <v>60</v>
      </c>
      <c r="S61" s="29">
        <f t="shared" si="11"/>
        <v>0</v>
      </c>
      <c r="T61" s="29">
        <f t="shared" ref="T61:T65" si="18">P61-S61</f>
        <v>36</v>
      </c>
    </row>
    <row r="62" spans="1:20">
      <c r="A62" s="5"/>
      <c r="D62" s="5"/>
      <c r="E62" s="5"/>
      <c r="F62" s="5"/>
      <c r="G62" s="5"/>
      <c r="H62" s="5"/>
      <c r="I62" s="5"/>
      <c r="J62" s="5"/>
      <c r="L62" s="19" t="s">
        <v>111</v>
      </c>
      <c r="M62" s="19" t="s">
        <v>57</v>
      </c>
      <c r="N62" s="47" t="s">
        <v>51</v>
      </c>
      <c r="O62" s="46">
        <v>3</v>
      </c>
      <c r="P62" s="55">
        <f t="shared" si="16"/>
        <v>36</v>
      </c>
      <c r="Q62" s="55">
        <f t="shared" si="17"/>
        <v>45</v>
      </c>
      <c r="R62" s="58" t="s">
        <v>64</v>
      </c>
      <c r="S62" s="29">
        <f t="shared" si="11"/>
        <v>0</v>
      </c>
      <c r="T62" s="29">
        <f t="shared" si="18"/>
        <v>36</v>
      </c>
    </row>
    <row r="63" spans="1:20">
      <c r="A63" s="5"/>
      <c r="D63" s="5"/>
      <c r="E63" s="5"/>
      <c r="F63" s="5"/>
      <c r="G63" s="5"/>
      <c r="H63" s="5"/>
      <c r="I63" s="5"/>
      <c r="J63" s="5"/>
      <c r="L63" s="19" t="s">
        <v>112</v>
      </c>
      <c r="M63" s="19" t="s">
        <v>57</v>
      </c>
      <c r="N63" s="47" t="s">
        <v>52</v>
      </c>
      <c r="O63" s="48">
        <v>3</v>
      </c>
      <c r="P63" s="55">
        <f t="shared" si="16"/>
        <v>36</v>
      </c>
      <c r="Q63" s="55">
        <f t="shared" si="17"/>
        <v>45</v>
      </c>
      <c r="R63" s="59" t="s">
        <v>64</v>
      </c>
      <c r="S63" s="29">
        <f t="shared" si="11"/>
        <v>0</v>
      </c>
      <c r="T63" s="29">
        <f t="shared" si="18"/>
        <v>36</v>
      </c>
    </row>
    <row r="64" spans="1:20">
      <c r="A64" s="5"/>
      <c r="D64" s="5"/>
      <c r="E64" s="5"/>
      <c r="F64" s="5"/>
      <c r="G64" s="5"/>
      <c r="H64" s="5"/>
      <c r="I64" s="5"/>
      <c r="J64" s="5"/>
      <c r="L64" s="19" t="s">
        <v>113</v>
      </c>
      <c r="M64" s="19" t="s">
        <v>57</v>
      </c>
      <c r="N64" s="45" t="s">
        <v>53</v>
      </c>
      <c r="O64" s="46">
        <v>3</v>
      </c>
      <c r="P64" s="55">
        <f t="shared" si="16"/>
        <v>36</v>
      </c>
      <c r="Q64" s="55">
        <f t="shared" si="17"/>
        <v>45</v>
      </c>
      <c r="R64" s="38" t="s">
        <v>132</v>
      </c>
      <c r="S64" s="29">
        <f t="shared" si="11"/>
        <v>0</v>
      </c>
      <c r="T64" s="29">
        <f t="shared" si="18"/>
        <v>36</v>
      </c>
    </row>
    <row r="65" spans="1:20">
      <c r="A65" s="5"/>
      <c r="D65" s="5"/>
      <c r="E65" s="5"/>
      <c r="F65" s="5"/>
      <c r="G65" s="5"/>
      <c r="H65" s="5"/>
      <c r="I65" s="5"/>
      <c r="J65" s="5"/>
      <c r="L65" s="19" t="s">
        <v>103</v>
      </c>
      <c r="M65" s="19" t="s">
        <v>57</v>
      </c>
      <c r="N65" s="45" t="s">
        <v>54</v>
      </c>
      <c r="O65" s="46">
        <v>3</v>
      </c>
      <c r="P65" s="55">
        <f t="shared" si="16"/>
        <v>36</v>
      </c>
      <c r="Q65" s="55">
        <f t="shared" si="17"/>
        <v>45</v>
      </c>
      <c r="R65" s="38" t="s">
        <v>133</v>
      </c>
      <c r="S65" s="29">
        <f t="shared" si="11"/>
        <v>0</v>
      </c>
      <c r="T65" s="29">
        <f t="shared" si="18"/>
        <v>36</v>
      </c>
    </row>
    <row r="66" spans="1:20">
      <c r="A66" s="5"/>
      <c r="D66" s="5"/>
      <c r="E66" s="5"/>
      <c r="F66" s="5"/>
      <c r="G66" s="5"/>
      <c r="H66" s="5"/>
      <c r="I66" s="5"/>
      <c r="J66" s="5"/>
      <c r="L66" s="49"/>
      <c r="M66" s="49"/>
      <c r="O66" s="51"/>
      <c r="P66" s="52"/>
      <c r="Q66" s="52"/>
      <c r="R66" s="50"/>
      <c r="S66" s="52"/>
      <c r="T66" s="52"/>
    </row>
    <row r="67" spans="1:20">
      <c r="A67" s="5"/>
      <c r="D67" s="5"/>
      <c r="E67" s="5"/>
      <c r="F67" s="5"/>
      <c r="G67" s="5"/>
      <c r="H67" s="5"/>
      <c r="I67" s="5"/>
      <c r="J67" s="5"/>
      <c r="L67" s="19"/>
      <c r="M67" s="60"/>
      <c r="N67" s="60" t="s">
        <v>31</v>
      </c>
      <c r="O67" s="60">
        <f>SUM(O3:O65)</f>
        <v>141</v>
      </c>
      <c r="P67" s="60">
        <f>SUM(P3:P65)</f>
        <v>1692</v>
      </c>
      <c r="Q67" s="60">
        <f>SUM(Q3:Q65)</f>
        <v>2115</v>
      </c>
      <c r="R67" s="60"/>
      <c r="S67" s="60">
        <f>SUM(S3:S65)</f>
        <v>23</v>
      </c>
      <c r="T67" s="60">
        <f>SUM(T3:T65)</f>
        <v>1669</v>
      </c>
    </row>
    <row r="68" spans="1:20">
      <c r="A68" s="5"/>
      <c r="D68" s="5"/>
      <c r="E68" s="5"/>
      <c r="F68" s="5"/>
      <c r="G68" s="5"/>
      <c r="H68" s="5"/>
      <c r="I68" s="5"/>
      <c r="J68" s="5"/>
      <c r="L68" s="2"/>
      <c r="M68" s="2"/>
      <c r="N68" s="2"/>
      <c r="O68" s="2"/>
      <c r="R68" s="2"/>
    </row>
    <row r="69" spans="1:20">
      <c r="L69" s="2"/>
      <c r="M69" s="2"/>
      <c r="N69" s="2"/>
      <c r="O69" s="2"/>
      <c r="R69" s="2"/>
    </row>
    <row r="70" spans="1:20">
      <c r="L70" s="49"/>
      <c r="M70" s="49"/>
      <c r="O70" s="51"/>
      <c r="P70" s="52"/>
      <c r="Q70" s="52"/>
      <c r="R70" s="50"/>
      <c r="S70" s="52"/>
      <c r="T70" s="52"/>
    </row>
    <row r="71" spans="1:20">
      <c r="L71" s="49"/>
      <c r="M71" s="49"/>
      <c r="O71" s="51"/>
      <c r="P71" s="52"/>
      <c r="Q71" s="52"/>
      <c r="R71" s="50"/>
      <c r="S71" s="52"/>
      <c r="T71" s="52"/>
    </row>
    <row r="72" spans="1:20">
      <c r="L72" s="49"/>
      <c r="M72" s="49"/>
      <c r="O72" s="51"/>
      <c r="P72" s="52"/>
      <c r="Q72" s="52"/>
      <c r="R72" s="50"/>
      <c r="S72" s="52"/>
      <c r="T72" s="52"/>
    </row>
    <row r="73" spans="1:20">
      <c r="L73" s="49"/>
      <c r="M73" s="49"/>
      <c r="O73" s="51"/>
      <c r="P73" s="52"/>
      <c r="Q73" s="52"/>
      <c r="R73" s="50"/>
      <c r="S73" s="52"/>
      <c r="T73" s="52"/>
    </row>
    <row r="74" spans="1:20">
      <c r="L74" s="49"/>
      <c r="M74" s="49"/>
      <c r="O74" s="51"/>
      <c r="P74" s="52"/>
      <c r="Q74" s="52"/>
      <c r="R74" s="50"/>
      <c r="S74" s="52"/>
      <c r="T74" s="52"/>
    </row>
    <row r="75" spans="1:20">
      <c r="L75" s="49"/>
      <c r="M75" s="49"/>
      <c r="O75" s="51"/>
      <c r="P75" s="52"/>
      <c r="Q75" s="52"/>
      <c r="R75" s="50"/>
      <c r="S75" s="52"/>
      <c r="T75" s="52"/>
    </row>
    <row r="76" spans="1:20">
      <c r="L76" s="49"/>
      <c r="M76" s="49"/>
      <c r="O76" s="51"/>
      <c r="P76" s="52"/>
      <c r="Q76" s="52"/>
      <c r="R76" s="50"/>
      <c r="S76" s="52"/>
      <c r="T76" s="52"/>
    </row>
    <row r="77" spans="1:20">
      <c r="L77" s="49"/>
      <c r="M77" s="49"/>
      <c r="O77" s="51"/>
      <c r="P77" s="52"/>
      <c r="Q77" s="52"/>
      <c r="R77" s="50"/>
      <c r="S77" s="52"/>
      <c r="T77" s="52"/>
    </row>
    <row r="78" spans="1:20">
      <c r="L78" s="49"/>
      <c r="M78" s="49"/>
      <c r="O78" s="51"/>
      <c r="P78" s="52"/>
      <c r="Q78" s="52"/>
      <c r="R78" s="50"/>
      <c r="S78" s="52"/>
      <c r="T78" s="52"/>
    </row>
    <row r="79" spans="1:20">
      <c r="L79" s="49"/>
      <c r="M79" s="49"/>
      <c r="O79" s="51"/>
      <c r="P79" s="52"/>
      <c r="Q79" s="52"/>
      <c r="R79" s="50"/>
      <c r="S79" s="52"/>
      <c r="T79" s="52"/>
    </row>
    <row r="80" spans="1:20">
      <c r="L80" s="49"/>
      <c r="M80" s="49"/>
      <c r="O80" s="51"/>
      <c r="P80" s="52"/>
      <c r="Q80" s="52"/>
      <c r="R80" s="50"/>
      <c r="S80" s="52"/>
      <c r="T80" s="52"/>
    </row>
    <row r="81" spans="12:20">
      <c r="L81" s="49"/>
      <c r="M81" s="49"/>
      <c r="O81" s="51"/>
      <c r="P81" s="52"/>
      <c r="Q81" s="52"/>
      <c r="R81" s="50"/>
      <c r="S81" s="52"/>
      <c r="T81" s="52"/>
    </row>
    <row r="82" spans="12:20">
      <c r="L82" s="49"/>
      <c r="M82" s="49"/>
      <c r="O82" s="51"/>
      <c r="P82" s="52"/>
      <c r="Q82" s="52"/>
      <c r="R82" s="50"/>
      <c r="S82" s="52"/>
      <c r="T82" s="52"/>
    </row>
    <row r="83" spans="12:20">
      <c r="L83" s="49"/>
      <c r="M83" s="49"/>
      <c r="O83" s="51"/>
      <c r="P83" s="52"/>
      <c r="Q83" s="52"/>
      <c r="R83" s="50"/>
      <c r="S83" s="52"/>
      <c r="T83" s="52"/>
    </row>
    <row r="84" spans="12:20">
      <c r="L84" s="49"/>
      <c r="M84" s="49"/>
      <c r="O84" s="51"/>
      <c r="P84" s="52"/>
      <c r="Q84" s="52"/>
      <c r="R84" s="50"/>
      <c r="S84" s="52"/>
      <c r="T84" s="52"/>
    </row>
    <row r="85" spans="12:20">
      <c r="L85" s="49"/>
      <c r="M85" s="49"/>
      <c r="O85" s="51"/>
      <c r="P85" s="52"/>
      <c r="Q85" s="52"/>
      <c r="R85" s="50"/>
      <c r="S85" s="52"/>
      <c r="T85" s="52"/>
    </row>
    <row r="86" spans="12:20">
      <c r="L86" s="49"/>
      <c r="M86" s="49"/>
      <c r="O86" s="51"/>
      <c r="P86" s="52"/>
      <c r="Q86" s="52"/>
      <c r="R86" s="50"/>
      <c r="S86" s="52"/>
      <c r="T86" s="52"/>
    </row>
    <row r="87" spans="12:20">
      <c r="L87" s="49"/>
      <c r="M87" s="49"/>
      <c r="O87" s="51"/>
      <c r="P87" s="52"/>
      <c r="Q87" s="52"/>
      <c r="R87" s="50"/>
      <c r="S87" s="52"/>
      <c r="T87" s="52"/>
    </row>
    <row r="88" spans="12:20">
      <c r="L88" s="49"/>
      <c r="M88" s="49"/>
      <c r="O88" s="51"/>
      <c r="P88" s="52"/>
      <c r="Q88" s="52"/>
      <c r="R88" s="50"/>
      <c r="S88" s="52"/>
      <c r="T88" s="52"/>
    </row>
    <row r="89" spans="12:20">
      <c r="L89" s="49"/>
      <c r="M89" s="49"/>
      <c r="O89" s="51"/>
      <c r="P89" s="52"/>
      <c r="Q89" s="52"/>
      <c r="R89" s="50"/>
      <c r="S89" s="52"/>
      <c r="T89" s="52"/>
    </row>
    <row r="90" spans="12:20">
      <c r="L90" s="49"/>
      <c r="M90" s="49"/>
      <c r="O90" s="51"/>
      <c r="P90" s="52"/>
      <c r="Q90" s="52"/>
      <c r="R90" s="50"/>
      <c r="S90" s="52"/>
      <c r="T90" s="52"/>
    </row>
    <row r="91" spans="12:20">
      <c r="L91" s="49"/>
      <c r="M91" s="49"/>
      <c r="O91" s="51"/>
      <c r="P91" s="52"/>
      <c r="Q91" s="52"/>
      <c r="R91" s="50"/>
      <c r="S91" s="52"/>
      <c r="T91" s="52"/>
    </row>
    <row r="92" spans="12:20">
      <c r="L92" s="49"/>
      <c r="M92" s="49"/>
      <c r="O92" s="51"/>
      <c r="P92" s="52"/>
      <c r="Q92" s="52"/>
      <c r="R92" s="50"/>
      <c r="S92" s="52"/>
      <c r="T92" s="52"/>
    </row>
    <row r="93" spans="12:20">
      <c r="L93" s="49"/>
      <c r="M93" s="49"/>
      <c r="O93" s="51"/>
      <c r="P93" s="52"/>
      <c r="Q93" s="52"/>
      <c r="R93" s="50"/>
      <c r="S93" s="52"/>
      <c r="T93" s="52"/>
    </row>
    <row r="94" spans="12:20">
      <c r="L94" s="49"/>
      <c r="M94" s="49"/>
      <c r="O94" s="51"/>
      <c r="P94" s="52"/>
      <c r="Q94" s="52"/>
      <c r="R94" s="50"/>
      <c r="S94" s="52"/>
      <c r="T94" s="52"/>
    </row>
    <row r="95" spans="12:20">
      <c r="L95" s="49"/>
      <c r="M95" s="49"/>
      <c r="O95" s="51"/>
      <c r="P95" s="52"/>
      <c r="Q95" s="52"/>
      <c r="R95" s="50"/>
      <c r="S95" s="52"/>
      <c r="T95" s="52"/>
    </row>
    <row r="96" spans="12:20">
      <c r="L96" s="49"/>
      <c r="M96" s="49"/>
      <c r="O96" s="51"/>
      <c r="P96" s="52"/>
      <c r="Q96" s="52"/>
      <c r="R96" s="50"/>
      <c r="S96" s="52"/>
      <c r="T96" s="52"/>
    </row>
    <row r="97" spans="12:20">
      <c r="L97" s="49"/>
      <c r="M97" s="49"/>
      <c r="O97" s="51"/>
      <c r="P97" s="52"/>
      <c r="Q97" s="52"/>
      <c r="R97" s="50"/>
      <c r="S97" s="52"/>
      <c r="T97" s="52"/>
    </row>
    <row r="98" spans="12:20">
      <c r="L98" s="49"/>
      <c r="M98" s="49"/>
      <c r="O98" s="51"/>
      <c r="P98" s="52"/>
      <c r="Q98" s="52"/>
      <c r="R98" s="50"/>
      <c r="S98" s="52"/>
      <c r="T98" s="52"/>
    </row>
    <row r="99" spans="12:20">
      <c r="L99" s="49"/>
      <c r="M99" s="49"/>
      <c r="O99" s="51"/>
      <c r="P99" s="52"/>
      <c r="Q99" s="52"/>
      <c r="R99" s="50"/>
      <c r="S99" s="52"/>
      <c r="T99" s="52"/>
    </row>
    <row r="100" spans="12:20">
      <c r="L100" s="49"/>
      <c r="M100" s="49"/>
      <c r="O100" s="51"/>
      <c r="P100" s="52"/>
      <c r="Q100" s="52"/>
      <c r="R100" s="50"/>
      <c r="S100" s="52"/>
      <c r="T100" s="52"/>
    </row>
    <row r="101" spans="12:20">
      <c r="L101" s="49"/>
      <c r="M101" s="49"/>
      <c r="O101" s="51"/>
      <c r="P101" s="52"/>
      <c r="Q101" s="52"/>
      <c r="R101" s="50"/>
      <c r="S101" s="52"/>
      <c r="T101" s="52"/>
    </row>
    <row r="102" spans="12:20">
      <c r="L102" s="49"/>
      <c r="M102" s="49"/>
      <c r="O102" s="51"/>
      <c r="P102" s="52"/>
      <c r="Q102" s="52"/>
      <c r="R102" s="50"/>
      <c r="S102" s="52"/>
      <c r="T102" s="52"/>
    </row>
    <row r="103" spans="12:20">
      <c r="L103" s="49"/>
      <c r="M103" s="49"/>
      <c r="O103" s="51"/>
      <c r="P103" s="52"/>
      <c r="Q103" s="52"/>
      <c r="R103" s="50"/>
      <c r="S103" s="52"/>
      <c r="T103" s="52"/>
    </row>
    <row r="104" spans="12:20">
      <c r="L104" s="49"/>
      <c r="M104" s="49"/>
      <c r="O104" s="51"/>
      <c r="P104" s="52"/>
      <c r="Q104" s="52"/>
      <c r="R104" s="50"/>
      <c r="S104" s="52"/>
      <c r="T104" s="52"/>
    </row>
    <row r="105" spans="12:20">
      <c r="L105" s="49"/>
      <c r="M105" s="49"/>
      <c r="O105" s="51"/>
      <c r="P105" s="52"/>
      <c r="Q105" s="52"/>
      <c r="R105" s="50"/>
      <c r="S105" s="52"/>
      <c r="T105" s="52"/>
    </row>
    <row r="106" spans="12:20">
      <c r="L106" s="49"/>
      <c r="M106" s="49"/>
      <c r="O106" s="51"/>
      <c r="P106" s="52"/>
      <c r="Q106" s="52"/>
      <c r="R106" s="50"/>
      <c r="S106" s="52"/>
      <c r="T106" s="52"/>
    </row>
    <row r="107" spans="12:20">
      <c r="L107" s="49"/>
      <c r="M107" s="49"/>
      <c r="O107" s="51"/>
      <c r="P107" s="52"/>
      <c r="Q107" s="52"/>
      <c r="R107" s="50"/>
      <c r="S107" s="52"/>
      <c r="T107" s="52"/>
    </row>
    <row r="108" spans="12:20">
      <c r="L108" s="49"/>
      <c r="M108" s="49"/>
      <c r="O108" s="51"/>
      <c r="P108" s="52"/>
      <c r="Q108" s="52"/>
      <c r="R108" s="50"/>
      <c r="S108" s="52"/>
      <c r="T108" s="52"/>
    </row>
    <row r="109" spans="12:20">
      <c r="L109" s="49"/>
      <c r="M109" s="49"/>
      <c r="O109" s="51"/>
      <c r="P109" s="52"/>
      <c r="Q109" s="52"/>
      <c r="R109" s="50"/>
      <c r="S109" s="52"/>
      <c r="T109" s="52"/>
    </row>
    <row r="110" spans="12:20">
      <c r="L110" s="49"/>
      <c r="M110" s="49"/>
      <c r="O110" s="51"/>
      <c r="P110" s="52"/>
      <c r="Q110" s="52"/>
      <c r="R110" s="50"/>
      <c r="S110" s="52"/>
      <c r="T110" s="52"/>
    </row>
    <row r="111" spans="12:20">
      <c r="L111" s="49"/>
      <c r="M111" s="49"/>
      <c r="O111" s="51"/>
      <c r="P111" s="52"/>
      <c r="Q111" s="52"/>
      <c r="R111" s="50"/>
      <c r="S111" s="52"/>
      <c r="T111" s="52"/>
    </row>
    <row r="112" spans="12:20">
      <c r="L112" s="49"/>
      <c r="M112" s="49"/>
      <c r="O112" s="51"/>
      <c r="P112" s="52"/>
      <c r="Q112" s="52"/>
      <c r="R112" s="50"/>
      <c r="S112" s="52"/>
      <c r="T112" s="52"/>
    </row>
    <row r="113" spans="1:20">
      <c r="L113" s="49"/>
      <c r="M113" s="49"/>
      <c r="O113" s="51"/>
      <c r="P113" s="52"/>
      <c r="Q113" s="52"/>
      <c r="R113" s="50"/>
      <c r="S113" s="52"/>
      <c r="T113" s="52"/>
    </row>
    <row r="114" spans="1:20">
      <c r="L114" s="49"/>
      <c r="M114" s="49"/>
      <c r="O114" s="51"/>
      <c r="P114" s="52"/>
      <c r="Q114" s="52"/>
      <c r="R114" s="50"/>
      <c r="S114" s="52"/>
      <c r="T114" s="52"/>
    </row>
    <row r="115" spans="1:20">
      <c r="L115" s="49"/>
      <c r="M115" s="49"/>
      <c r="O115" s="51"/>
      <c r="P115" s="52"/>
      <c r="Q115" s="52"/>
      <c r="R115" s="50"/>
      <c r="S115" s="52"/>
      <c r="T115" s="52"/>
    </row>
    <row r="116" spans="1:20">
      <c r="L116" s="49"/>
      <c r="M116" s="49"/>
      <c r="O116" s="51"/>
      <c r="P116" s="52"/>
      <c r="Q116" s="52"/>
      <c r="R116" s="50"/>
      <c r="S116" s="52"/>
      <c r="T116" s="52"/>
    </row>
    <row r="117" spans="1:20">
      <c r="A117" s="5"/>
      <c r="D117" s="5"/>
      <c r="E117" s="5"/>
      <c r="F117" s="5"/>
      <c r="G117" s="5"/>
      <c r="H117" s="5"/>
      <c r="I117" s="5"/>
      <c r="J117" s="5"/>
      <c r="L117" s="49"/>
      <c r="M117" s="49"/>
      <c r="O117" s="51"/>
      <c r="P117" s="52"/>
      <c r="Q117" s="52"/>
      <c r="R117" s="50"/>
      <c r="S117" s="52"/>
      <c r="T117" s="52"/>
    </row>
    <row r="118" spans="1:20">
      <c r="A118" s="5"/>
      <c r="D118" s="5"/>
      <c r="E118" s="5"/>
      <c r="F118" s="5"/>
      <c r="G118" s="5"/>
      <c r="H118" s="5"/>
      <c r="I118" s="5"/>
      <c r="J118" s="5"/>
      <c r="L118" s="49"/>
      <c r="M118" s="49"/>
      <c r="O118" s="51"/>
      <c r="P118" s="52"/>
      <c r="Q118" s="52"/>
      <c r="R118" s="50"/>
      <c r="S118" s="52"/>
      <c r="T118" s="52"/>
    </row>
    <row r="119" spans="1:20">
      <c r="A119" s="5"/>
      <c r="D119" s="5"/>
      <c r="E119" s="5"/>
      <c r="F119" s="5"/>
      <c r="G119" s="5"/>
      <c r="H119" s="5"/>
      <c r="I119" s="5"/>
      <c r="J119" s="5"/>
      <c r="L119" s="49"/>
      <c r="M119" s="49"/>
      <c r="O119" s="51"/>
      <c r="P119" s="52"/>
      <c r="Q119" s="52"/>
      <c r="R119" s="50"/>
      <c r="S119" s="52"/>
      <c r="T119" s="52"/>
    </row>
    <row r="120" spans="1:20">
      <c r="A120" s="5"/>
      <c r="D120" s="5"/>
      <c r="E120" s="5"/>
      <c r="F120" s="5"/>
      <c r="G120" s="5"/>
      <c r="H120" s="5"/>
      <c r="I120" s="5"/>
      <c r="J120" s="5"/>
      <c r="L120" s="49"/>
      <c r="M120" s="49"/>
      <c r="O120" s="51"/>
      <c r="P120" s="52"/>
      <c r="Q120" s="52"/>
      <c r="R120" s="50"/>
      <c r="S120" s="52"/>
      <c r="T120" s="52"/>
    </row>
    <row r="121" spans="1:20">
      <c r="A121" s="5"/>
      <c r="D121" s="5"/>
      <c r="E121" s="5"/>
      <c r="F121" s="5"/>
      <c r="G121" s="5"/>
      <c r="H121" s="5"/>
      <c r="I121" s="5"/>
      <c r="J121" s="5"/>
      <c r="L121" s="49"/>
      <c r="M121" s="49"/>
      <c r="O121" s="51"/>
      <c r="P121" s="52"/>
      <c r="Q121" s="52"/>
      <c r="R121" s="50"/>
      <c r="S121" s="52"/>
      <c r="T121" s="52"/>
    </row>
    <row r="122" spans="1:20">
      <c r="A122" s="5"/>
      <c r="D122" s="5"/>
      <c r="E122" s="5"/>
      <c r="F122" s="5"/>
      <c r="G122" s="5"/>
      <c r="H122" s="5"/>
      <c r="I122" s="5"/>
      <c r="J122" s="5"/>
      <c r="L122" s="49"/>
      <c r="M122" s="49"/>
      <c r="O122" s="51"/>
      <c r="P122" s="52"/>
      <c r="Q122" s="52"/>
      <c r="R122" s="50"/>
      <c r="S122" s="52"/>
      <c r="T122" s="52"/>
    </row>
    <row r="123" spans="1:20">
      <c r="A123" s="5"/>
      <c r="D123" s="5"/>
      <c r="E123" s="5"/>
      <c r="F123" s="5"/>
      <c r="G123" s="5"/>
      <c r="H123" s="5"/>
      <c r="I123" s="5"/>
      <c r="J123" s="5"/>
    </row>
    <row r="124" spans="1:20">
      <c r="A124" s="5"/>
      <c r="D124" s="5"/>
      <c r="E124" s="5"/>
      <c r="F124" s="5"/>
      <c r="G124" s="5"/>
      <c r="H124" s="5"/>
      <c r="I124" s="5"/>
      <c r="J124" s="5"/>
    </row>
    <row r="125" spans="1:20">
      <c r="A125" s="5"/>
      <c r="D125" s="5"/>
      <c r="E125" s="5"/>
      <c r="F125" s="5"/>
      <c r="G125" s="5"/>
      <c r="H125" s="5"/>
      <c r="I125" s="5"/>
      <c r="J125" s="5"/>
    </row>
    <row r="126" spans="1:20">
      <c r="A126" s="5"/>
      <c r="D126" s="5"/>
      <c r="E126" s="5"/>
      <c r="F126" s="5"/>
      <c r="G126" s="5"/>
      <c r="H126" s="5"/>
      <c r="I126" s="5"/>
      <c r="J126" s="5"/>
    </row>
    <row r="127" spans="1:20">
      <c r="A127" s="5"/>
      <c r="D127" s="5"/>
      <c r="E127" s="5"/>
      <c r="F127" s="5"/>
      <c r="G127" s="5"/>
      <c r="H127" s="5"/>
      <c r="I127" s="5"/>
      <c r="J127" s="5"/>
    </row>
    <row r="128" spans="1:20">
      <c r="A128" s="5"/>
      <c r="D128" s="5"/>
      <c r="E128" s="5"/>
      <c r="F128" s="5"/>
      <c r="G128" s="5"/>
      <c r="H128" s="5"/>
      <c r="I128" s="5"/>
      <c r="J128" s="5"/>
    </row>
    <row r="129" spans="1:10">
      <c r="A129" s="5"/>
      <c r="D129" s="5"/>
      <c r="E129" s="5"/>
      <c r="F129" s="5"/>
      <c r="G129" s="5"/>
      <c r="H129" s="5"/>
      <c r="I129" s="5"/>
      <c r="J129" s="5"/>
    </row>
    <row r="130" spans="1:10">
      <c r="A130" s="5"/>
      <c r="D130" s="5"/>
      <c r="E130" s="5"/>
      <c r="F130" s="5"/>
      <c r="G130" s="5"/>
      <c r="H130" s="5"/>
      <c r="I130" s="5"/>
      <c r="J130" s="5"/>
    </row>
    <row r="131" spans="1:10">
      <c r="A131" s="5"/>
      <c r="D131" s="5"/>
      <c r="E131" s="5"/>
      <c r="F131" s="5"/>
      <c r="G131" s="5"/>
      <c r="H131" s="5"/>
      <c r="I131" s="5"/>
      <c r="J131" s="5"/>
    </row>
    <row r="132" spans="1:10">
      <c r="A132" s="5"/>
      <c r="D132" s="5"/>
      <c r="E132" s="5"/>
      <c r="F132" s="5"/>
      <c r="G132" s="5"/>
      <c r="H132" s="5"/>
      <c r="I132" s="5"/>
      <c r="J132" s="5"/>
    </row>
    <row r="133" spans="1:10">
      <c r="A133" s="5"/>
      <c r="D133" s="5"/>
      <c r="E133" s="5"/>
      <c r="F133" s="5"/>
      <c r="G133" s="5"/>
      <c r="H133" s="5"/>
      <c r="I133" s="5"/>
      <c r="J133" s="5"/>
    </row>
    <row r="134" spans="1:10">
      <c r="A134" s="5"/>
      <c r="D134" s="5"/>
      <c r="E134" s="5"/>
      <c r="F134" s="5"/>
      <c r="G134" s="5"/>
      <c r="H134" s="5"/>
      <c r="I134" s="5"/>
      <c r="J134" s="5"/>
    </row>
    <row r="135" spans="1:10">
      <c r="A135" s="5"/>
      <c r="D135" s="5"/>
      <c r="E135" s="5"/>
      <c r="F135" s="5"/>
      <c r="G135" s="5"/>
      <c r="H135" s="5"/>
      <c r="I135" s="5"/>
      <c r="J135" s="5"/>
    </row>
    <row r="136" spans="1:10">
      <c r="A136" s="5"/>
      <c r="D136" s="5"/>
      <c r="E136" s="5"/>
      <c r="F136" s="5"/>
      <c r="G136" s="5"/>
      <c r="H136" s="5"/>
      <c r="I136" s="5"/>
      <c r="J136" s="5"/>
    </row>
    <row r="137" spans="1:10">
      <c r="A137" s="5"/>
      <c r="D137" s="5"/>
      <c r="E137" s="5"/>
      <c r="F137" s="5"/>
      <c r="G137" s="5"/>
      <c r="H137" s="5"/>
      <c r="I137" s="5"/>
      <c r="J137" s="5"/>
    </row>
    <row r="138" spans="1:10">
      <c r="A138" s="5"/>
      <c r="D138" s="5"/>
      <c r="E138" s="5"/>
      <c r="F138" s="5"/>
      <c r="G138" s="5"/>
      <c r="H138" s="5"/>
      <c r="I138" s="5"/>
      <c r="J138" s="5"/>
    </row>
    <row r="139" spans="1:10">
      <c r="A139" s="5"/>
      <c r="D139" s="5"/>
      <c r="E139" s="5"/>
      <c r="F139" s="5"/>
      <c r="G139" s="5"/>
      <c r="H139" s="5"/>
      <c r="I139" s="5"/>
      <c r="J139" s="5"/>
    </row>
    <row r="140" spans="1:10">
      <c r="A140" s="5"/>
      <c r="D140" s="5"/>
      <c r="E140" s="5"/>
      <c r="F140" s="5"/>
      <c r="G140" s="5"/>
      <c r="H140" s="5"/>
      <c r="I140" s="5"/>
      <c r="J140" s="5"/>
    </row>
    <row r="141" spans="1:10">
      <c r="A141" s="5"/>
      <c r="D141" s="5"/>
      <c r="E141" s="5"/>
      <c r="F141" s="5"/>
      <c r="G141" s="5"/>
      <c r="H141" s="5"/>
      <c r="I141" s="5"/>
      <c r="J141" s="5"/>
    </row>
    <row r="142" spans="1:10">
      <c r="A142" s="5"/>
      <c r="D142" s="5"/>
      <c r="E142" s="5"/>
      <c r="F142" s="5"/>
      <c r="G142" s="5"/>
      <c r="H142" s="5"/>
      <c r="I142" s="5"/>
      <c r="J142" s="5"/>
    </row>
    <row r="143" spans="1:10">
      <c r="A143" s="5"/>
      <c r="D143" s="5"/>
      <c r="E143" s="5"/>
      <c r="F143" s="5"/>
      <c r="G143" s="5"/>
      <c r="H143" s="5"/>
      <c r="I143" s="5"/>
      <c r="J143" s="5"/>
    </row>
    <row r="144" spans="1:10">
      <c r="A144" s="5"/>
      <c r="D144" s="5"/>
      <c r="E144" s="5"/>
      <c r="F144" s="5"/>
      <c r="G144" s="5"/>
      <c r="H144" s="5"/>
      <c r="I144" s="5"/>
      <c r="J144" s="5"/>
    </row>
    <row r="145" spans="1:10">
      <c r="A145" s="5"/>
      <c r="D145" s="5"/>
      <c r="E145" s="5"/>
      <c r="F145" s="5"/>
      <c r="G145" s="5"/>
      <c r="H145" s="5"/>
      <c r="I145" s="5"/>
      <c r="J145" s="5"/>
    </row>
    <row r="146" spans="1:10">
      <c r="A146" s="5"/>
      <c r="D146" s="5"/>
      <c r="E146" s="5"/>
      <c r="F146" s="5"/>
      <c r="G146" s="5"/>
      <c r="H146" s="5"/>
      <c r="I146" s="5"/>
      <c r="J146" s="5"/>
    </row>
    <row r="147" spans="1:10">
      <c r="A147" s="5"/>
      <c r="D147" s="5"/>
      <c r="E147" s="5"/>
      <c r="F147" s="5"/>
      <c r="G147" s="5"/>
      <c r="H147" s="5"/>
      <c r="I147" s="5"/>
      <c r="J147" s="5"/>
    </row>
    <row r="148" spans="1:10">
      <c r="A148" s="5"/>
      <c r="D148" s="5"/>
      <c r="E148" s="5"/>
      <c r="F148" s="5"/>
      <c r="G148" s="5"/>
      <c r="H148" s="5"/>
      <c r="I148" s="5"/>
      <c r="J148" s="5"/>
    </row>
    <row r="149" spans="1:10">
      <c r="A149" s="5"/>
      <c r="D149" s="5"/>
      <c r="E149" s="5"/>
      <c r="F149" s="5"/>
      <c r="G149" s="5"/>
      <c r="H149" s="5"/>
      <c r="I149" s="5"/>
      <c r="J149" s="5"/>
    </row>
    <row r="150" spans="1:10">
      <c r="A150" s="5"/>
      <c r="D150" s="5"/>
      <c r="E150" s="5"/>
      <c r="F150" s="5"/>
      <c r="G150" s="5"/>
      <c r="H150" s="5"/>
      <c r="I150" s="5"/>
      <c r="J150" s="5"/>
    </row>
    <row r="151" spans="1:10">
      <c r="A151" s="5"/>
      <c r="D151" s="5"/>
      <c r="E151" s="5"/>
      <c r="F151" s="5"/>
      <c r="G151" s="5"/>
      <c r="H151" s="5"/>
      <c r="I151" s="5"/>
      <c r="J151" s="5"/>
    </row>
    <row r="152" spans="1:10">
      <c r="A152" s="5"/>
      <c r="D152" s="5"/>
      <c r="E152" s="5"/>
      <c r="F152" s="5"/>
      <c r="G152" s="5"/>
      <c r="H152" s="5"/>
      <c r="I152" s="5"/>
      <c r="J152" s="5"/>
    </row>
    <row r="153" spans="1:10">
      <c r="A153" s="5"/>
      <c r="D153" s="5"/>
      <c r="E153" s="5"/>
      <c r="F153" s="5"/>
      <c r="G153" s="5"/>
      <c r="H153" s="5"/>
      <c r="I153" s="5"/>
      <c r="J153" s="5"/>
    </row>
    <row r="154" spans="1:10">
      <c r="A154" s="5"/>
      <c r="D154" s="5"/>
      <c r="E154" s="5"/>
      <c r="F154" s="5"/>
      <c r="G154" s="5"/>
      <c r="H154" s="5"/>
      <c r="I154" s="5"/>
      <c r="J154" s="5"/>
    </row>
    <row r="155" spans="1:10">
      <c r="A155" s="5"/>
      <c r="D155" s="5"/>
      <c r="E155" s="5"/>
      <c r="F155" s="5"/>
      <c r="G155" s="5"/>
      <c r="H155" s="5"/>
      <c r="I155" s="5"/>
      <c r="J155" s="5"/>
    </row>
    <row r="156" spans="1:10">
      <c r="A156" s="5"/>
      <c r="D156" s="5"/>
      <c r="E156" s="5"/>
      <c r="F156" s="5"/>
      <c r="G156" s="5"/>
      <c r="H156" s="5"/>
      <c r="I156" s="5"/>
      <c r="J156" s="5"/>
    </row>
    <row r="157" spans="1:10">
      <c r="A157" s="5"/>
      <c r="D157" s="5"/>
      <c r="E157" s="5"/>
      <c r="F157" s="5"/>
      <c r="G157" s="5"/>
      <c r="H157" s="5"/>
      <c r="I157" s="5"/>
      <c r="J157" s="5"/>
    </row>
    <row r="158" spans="1:10">
      <c r="A158" s="5"/>
      <c r="D158" s="5"/>
      <c r="E158" s="5"/>
      <c r="F158" s="5"/>
      <c r="G158" s="5"/>
      <c r="H158" s="5"/>
      <c r="I158" s="5"/>
      <c r="J158" s="5"/>
    </row>
    <row r="159" spans="1:10">
      <c r="A159" s="5"/>
      <c r="D159" s="5"/>
      <c r="E159" s="5"/>
      <c r="F159" s="5"/>
      <c r="G159" s="5"/>
      <c r="H159" s="5"/>
      <c r="I159" s="5"/>
      <c r="J159" s="5"/>
    </row>
    <row r="160" spans="1:10">
      <c r="A160" s="5"/>
      <c r="D160" s="5"/>
      <c r="E160" s="5"/>
      <c r="F160" s="5"/>
      <c r="G160" s="5"/>
      <c r="H160" s="5"/>
      <c r="I160" s="5"/>
      <c r="J160" s="5"/>
    </row>
  </sheetData>
  <mergeCells count="2">
    <mergeCell ref="A1:J1"/>
    <mergeCell ref="A2:J2"/>
  </mergeCells>
  <conditionalFormatting sqref="B1:B3 B161:B1048576">
    <cfRule type="cellIs" dxfId="5" priority="2" operator="equal">
      <formula>"Sat"</formula>
    </cfRule>
  </conditionalFormatting>
  <conditionalFormatting sqref="B4:B24">
    <cfRule type="containsText" dxfId="4" priority="1" operator="containsText" text="Sun">
      <formula>NOT(ISERROR(SEARCH("Sun",B4)))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D361-4E04-41CD-BD7A-CF154B8D2CE3}">
  <dimension ref="A1:R159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2" sqref="D22:F22"/>
    </sheetView>
  </sheetViews>
  <sheetFormatPr defaultRowHeight="15"/>
  <cols>
    <col min="1" max="1" width="10.85546875" style="1" bestFit="1" customWidth="1"/>
    <col min="2" max="2" width="10.85546875" style="5" customWidth="1"/>
    <col min="3" max="3" width="7.85546875" style="5" customWidth="1"/>
    <col min="4" max="4" width="11.7109375" style="1" bestFit="1" customWidth="1"/>
    <col min="5" max="7" width="11.85546875" style="1" bestFit="1" customWidth="1"/>
    <col min="8" max="9" width="12.5703125" style="1" bestFit="1" customWidth="1"/>
    <col min="10" max="10" width="11.85546875" style="1" bestFit="1" customWidth="1"/>
    <col min="11" max="11" width="35.5703125" style="5" bestFit="1" customWidth="1"/>
    <col min="12" max="12" width="13.42578125" style="1" bestFit="1" customWidth="1"/>
    <col min="13" max="13" width="11" style="1" customWidth="1"/>
    <col min="14" max="14" width="55.42578125" style="50" bestFit="1" customWidth="1"/>
    <col min="15" max="15" width="6.42578125" style="3" customWidth="1"/>
    <col min="16" max="16" width="8.5703125" style="2" bestFit="1" customWidth="1"/>
    <col min="17" max="17" width="9" style="2" bestFit="1" customWidth="1"/>
    <col min="18" max="18" width="25.7109375" style="12" bestFit="1" customWidth="1"/>
    <col min="19" max="16384" width="9.140625" style="2"/>
  </cols>
  <sheetData>
    <row r="1" spans="1:18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</row>
    <row r="2" spans="1:18" ht="18.75">
      <c r="A2" s="95" t="s">
        <v>199</v>
      </c>
      <c r="B2" s="95"/>
      <c r="C2" s="95"/>
      <c r="D2" s="95"/>
      <c r="E2" s="95"/>
      <c r="F2" s="95"/>
      <c r="G2" s="95"/>
      <c r="H2" s="95"/>
      <c r="I2" s="95"/>
      <c r="J2" s="95"/>
      <c r="L2" s="23"/>
      <c r="M2" s="23"/>
      <c r="N2" s="53"/>
      <c r="O2" s="23"/>
      <c r="P2" s="23"/>
      <c r="Q2" s="23"/>
      <c r="R2" s="23"/>
    </row>
    <row r="3" spans="1:18" s="1" customFormat="1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L3" s="11" t="s">
        <v>9</v>
      </c>
      <c r="M3" s="11"/>
      <c r="N3" s="54" t="s">
        <v>10</v>
      </c>
      <c r="O3" s="10" t="s">
        <v>11</v>
      </c>
      <c r="P3" s="10" t="s">
        <v>12</v>
      </c>
      <c r="Q3" s="10" t="s">
        <v>13</v>
      </c>
      <c r="R3" s="10" t="s">
        <v>14</v>
      </c>
    </row>
    <row r="4" spans="1:18">
      <c r="A4" s="24">
        <v>46237</v>
      </c>
      <c r="B4" s="4" t="s">
        <v>19</v>
      </c>
      <c r="C4" s="7">
        <v>1</v>
      </c>
      <c r="D4" s="61" t="s">
        <v>96</v>
      </c>
      <c r="E4" s="16" t="s">
        <v>119</v>
      </c>
      <c r="F4" s="4" t="s">
        <v>97</v>
      </c>
      <c r="G4" s="18"/>
      <c r="H4" s="15" t="s">
        <v>88</v>
      </c>
      <c r="I4" s="16" t="s">
        <v>98</v>
      </c>
      <c r="J4" s="61" t="s">
        <v>94</v>
      </c>
      <c r="L4" s="4" t="s">
        <v>83</v>
      </c>
      <c r="M4" s="4"/>
      <c r="N4" s="36" t="s">
        <v>41</v>
      </c>
      <c r="O4" s="25">
        <v>2</v>
      </c>
      <c r="P4" s="14">
        <f t="shared" ref="P4:P15" si="0">Q4/1.25</f>
        <v>24</v>
      </c>
      <c r="Q4" s="14">
        <f t="shared" ref="Q4:Q15" si="1">O4*15</f>
        <v>30</v>
      </c>
      <c r="R4" s="34" t="s">
        <v>81</v>
      </c>
    </row>
    <row r="5" spans="1:18" ht="25.5">
      <c r="A5" s="24">
        <v>46238</v>
      </c>
      <c r="B5" s="4" t="s">
        <v>20</v>
      </c>
      <c r="C5" s="7">
        <f>C4+1</f>
        <v>2</v>
      </c>
      <c r="D5" s="61" t="s">
        <v>28</v>
      </c>
      <c r="E5" s="16" t="s">
        <v>175</v>
      </c>
      <c r="F5" s="16" t="s">
        <v>187</v>
      </c>
      <c r="G5" s="18"/>
      <c r="H5" s="16" t="s">
        <v>190</v>
      </c>
      <c r="I5" s="16"/>
      <c r="J5" s="61" t="s">
        <v>93</v>
      </c>
      <c r="L5" s="26" t="s">
        <v>84</v>
      </c>
      <c r="M5" s="26"/>
      <c r="N5" s="36" t="s">
        <v>42</v>
      </c>
      <c r="O5" s="27">
        <v>2</v>
      </c>
      <c r="P5" s="14">
        <f t="shared" si="0"/>
        <v>24</v>
      </c>
      <c r="Q5" s="14">
        <f t="shared" si="1"/>
        <v>30</v>
      </c>
      <c r="R5" s="31"/>
    </row>
    <row r="6" spans="1:18" ht="25.5">
      <c r="A6" s="24">
        <v>46239</v>
      </c>
      <c r="B6" s="4" t="s">
        <v>21</v>
      </c>
      <c r="C6" s="7">
        <f t="shared" ref="C6:C9" si="2">C5+1</f>
        <v>3</v>
      </c>
      <c r="D6" s="17" t="s">
        <v>126</v>
      </c>
      <c r="E6" s="4" t="s">
        <v>95</v>
      </c>
      <c r="F6" s="17" t="s">
        <v>178</v>
      </c>
      <c r="G6" s="18"/>
      <c r="H6" s="16" t="s">
        <v>191</v>
      </c>
      <c r="I6" s="16" t="s">
        <v>184</v>
      </c>
      <c r="J6" s="61" t="s">
        <v>118</v>
      </c>
      <c r="L6" s="26" t="s">
        <v>32</v>
      </c>
      <c r="M6" s="26"/>
      <c r="N6" s="36" t="s">
        <v>43</v>
      </c>
      <c r="O6" s="25">
        <v>2</v>
      </c>
      <c r="P6" s="14">
        <f t="shared" si="0"/>
        <v>24</v>
      </c>
      <c r="Q6" s="14">
        <f t="shared" si="1"/>
        <v>30</v>
      </c>
      <c r="R6" s="35" t="s">
        <v>61</v>
      </c>
    </row>
    <row r="7" spans="1:18" ht="25.5">
      <c r="A7" s="24">
        <v>46240</v>
      </c>
      <c r="B7" s="4" t="s">
        <v>22</v>
      </c>
      <c r="C7" s="7">
        <f t="shared" si="2"/>
        <v>4</v>
      </c>
      <c r="D7" s="4" t="s">
        <v>116</v>
      </c>
      <c r="E7" s="17" t="s">
        <v>183</v>
      </c>
      <c r="F7" s="16" t="s">
        <v>26</v>
      </c>
      <c r="G7" s="18"/>
      <c r="H7" s="16" t="s">
        <v>181</v>
      </c>
      <c r="I7" s="16" t="s">
        <v>192</v>
      </c>
      <c r="J7" s="61" t="s">
        <v>120</v>
      </c>
      <c r="L7" s="26" t="s">
        <v>129</v>
      </c>
      <c r="M7" s="26"/>
      <c r="N7" s="38" t="s">
        <v>55</v>
      </c>
      <c r="O7" s="28">
        <v>1</v>
      </c>
      <c r="P7" s="14">
        <f t="shared" si="0"/>
        <v>12</v>
      </c>
      <c r="Q7" s="14">
        <f t="shared" si="1"/>
        <v>15</v>
      </c>
      <c r="R7" s="31"/>
    </row>
    <row r="8" spans="1:18">
      <c r="A8" s="24">
        <v>46241</v>
      </c>
      <c r="B8" s="4" t="s">
        <v>23</v>
      </c>
      <c r="C8" s="7">
        <f t="shared" si="2"/>
        <v>5</v>
      </c>
      <c r="D8" s="73" t="s">
        <v>134</v>
      </c>
      <c r="E8" s="73" t="s">
        <v>134</v>
      </c>
      <c r="F8" s="73" t="s">
        <v>134</v>
      </c>
      <c r="G8" s="18"/>
      <c r="H8" s="73" t="s">
        <v>134</v>
      </c>
      <c r="I8" s="73" t="s">
        <v>134</v>
      </c>
      <c r="J8" s="73" t="s">
        <v>134</v>
      </c>
      <c r="L8" s="20" t="s">
        <v>117</v>
      </c>
      <c r="M8" s="20"/>
      <c r="N8" s="36" t="s">
        <v>136</v>
      </c>
      <c r="O8" s="39">
        <v>2</v>
      </c>
      <c r="P8" s="55">
        <f t="shared" si="0"/>
        <v>24</v>
      </c>
      <c r="Q8" s="55">
        <f t="shared" si="1"/>
        <v>30</v>
      </c>
      <c r="R8" s="56" t="s">
        <v>82</v>
      </c>
    </row>
    <row r="9" spans="1:18">
      <c r="A9" s="24">
        <v>46242</v>
      </c>
      <c r="B9" s="4" t="s">
        <v>24</v>
      </c>
      <c r="C9" s="7">
        <f t="shared" si="2"/>
        <v>6</v>
      </c>
      <c r="D9" s="73"/>
      <c r="E9" s="73"/>
      <c r="F9" s="73" t="s">
        <v>32</v>
      </c>
      <c r="G9" s="18"/>
      <c r="H9" s="73" t="s">
        <v>32</v>
      </c>
      <c r="I9" s="73"/>
      <c r="J9" s="73"/>
      <c r="L9" s="19" t="s">
        <v>120</v>
      </c>
      <c r="M9" s="19"/>
      <c r="N9" s="36" t="s">
        <v>137</v>
      </c>
      <c r="O9" s="39">
        <v>2</v>
      </c>
      <c r="P9" s="55">
        <f t="shared" si="0"/>
        <v>24</v>
      </c>
      <c r="Q9" s="55">
        <f t="shared" si="1"/>
        <v>30</v>
      </c>
      <c r="R9" s="76" t="s">
        <v>68</v>
      </c>
    </row>
    <row r="10" spans="1:18">
      <c r="A10" s="24">
        <v>46243</v>
      </c>
      <c r="B10" s="4" t="s">
        <v>25</v>
      </c>
      <c r="C10" s="7"/>
      <c r="D10" s="21"/>
      <c r="E10" s="21"/>
      <c r="F10" s="22"/>
      <c r="G10" s="6"/>
      <c r="H10" s="22"/>
      <c r="I10" s="21"/>
      <c r="J10" s="75"/>
      <c r="L10" s="19" t="s">
        <v>85</v>
      </c>
      <c r="M10" s="19"/>
      <c r="N10" s="36" t="s">
        <v>138</v>
      </c>
      <c r="O10" s="39">
        <v>2</v>
      </c>
      <c r="P10" s="55">
        <f t="shared" si="0"/>
        <v>24</v>
      </c>
      <c r="Q10" s="55">
        <f t="shared" si="1"/>
        <v>30</v>
      </c>
      <c r="R10" s="76" t="s">
        <v>65</v>
      </c>
    </row>
    <row r="11" spans="1:18">
      <c r="A11" s="24">
        <v>46244</v>
      </c>
      <c r="B11" s="4" t="s">
        <v>19</v>
      </c>
      <c r="C11" s="7">
        <f>C9+1</f>
        <v>7</v>
      </c>
      <c r="D11" s="61" t="s">
        <v>96</v>
      </c>
      <c r="E11" s="16" t="s">
        <v>119</v>
      </c>
      <c r="F11" s="4" t="s">
        <v>97</v>
      </c>
      <c r="G11" s="18"/>
      <c r="H11" s="15" t="s">
        <v>203</v>
      </c>
      <c r="I11" s="16" t="s">
        <v>98</v>
      </c>
      <c r="J11" s="61" t="s">
        <v>94</v>
      </c>
      <c r="L11" s="19" t="s">
        <v>86</v>
      </c>
      <c r="M11" s="19"/>
      <c r="N11" s="36" t="s">
        <v>139</v>
      </c>
      <c r="O11" s="39">
        <v>2</v>
      </c>
      <c r="P11" s="55">
        <f t="shared" si="0"/>
        <v>24</v>
      </c>
      <c r="Q11" s="55">
        <f t="shared" si="1"/>
        <v>30</v>
      </c>
      <c r="R11" s="76" t="s">
        <v>58</v>
      </c>
    </row>
    <row r="12" spans="1:18" ht="25.5">
      <c r="A12" s="24">
        <v>46245</v>
      </c>
      <c r="B12" s="4" t="s">
        <v>20</v>
      </c>
      <c r="C12" s="7">
        <f>C11+1</f>
        <v>8</v>
      </c>
      <c r="D12" s="61" t="s">
        <v>28</v>
      </c>
      <c r="E12" s="16" t="s">
        <v>175</v>
      </c>
      <c r="F12" s="16" t="s">
        <v>187</v>
      </c>
      <c r="G12" s="18"/>
      <c r="H12" s="16" t="s">
        <v>190</v>
      </c>
      <c r="I12" s="16"/>
      <c r="J12" s="61" t="s">
        <v>93</v>
      </c>
      <c r="L12" s="19" t="s">
        <v>87</v>
      </c>
      <c r="M12" s="19"/>
      <c r="N12" s="36" t="s">
        <v>140</v>
      </c>
      <c r="O12" s="39">
        <v>2</v>
      </c>
      <c r="P12" s="55">
        <f t="shared" si="0"/>
        <v>24</v>
      </c>
      <c r="Q12" s="55">
        <f t="shared" si="1"/>
        <v>30</v>
      </c>
      <c r="R12" s="76" t="s">
        <v>67</v>
      </c>
    </row>
    <row r="13" spans="1:18" ht="25.5">
      <c r="A13" s="24">
        <v>46246</v>
      </c>
      <c r="B13" s="4" t="s">
        <v>21</v>
      </c>
      <c r="C13" s="7">
        <f t="shared" ref="C13:C15" si="3">C12+1</f>
        <v>9</v>
      </c>
      <c r="D13" s="17" t="s">
        <v>126</v>
      </c>
      <c r="E13" s="4" t="s">
        <v>95</v>
      </c>
      <c r="F13" s="17" t="s">
        <v>178</v>
      </c>
      <c r="G13" s="18"/>
      <c r="H13" s="16" t="s">
        <v>191</v>
      </c>
      <c r="I13" s="16" t="s">
        <v>184</v>
      </c>
      <c r="J13" s="61" t="s">
        <v>118</v>
      </c>
      <c r="L13" s="19" t="s">
        <v>88</v>
      </c>
      <c r="M13" s="19"/>
      <c r="N13" s="36" t="s">
        <v>141</v>
      </c>
      <c r="O13" s="39">
        <v>2</v>
      </c>
      <c r="P13" s="55">
        <f t="shared" si="0"/>
        <v>24</v>
      </c>
      <c r="Q13" s="55">
        <f t="shared" si="1"/>
        <v>30</v>
      </c>
      <c r="R13" s="76" t="s">
        <v>66</v>
      </c>
    </row>
    <row r="14" spans="1:18" ht="25.5">
      <c r="A14" s="24">
        <v>46247</v>
      </c>
      <c r="B14" s="4" t="s">
        <v>22</v>
      </c>
      <c r="C14" s="7">
        <f t="shared" si="3"/>
        <v>10</v>
      </c>
      <c r="D14" s="4" t="s">
        <v>116</v>
      </c>
      <c r="E14" s="17" t="s">
        <v>183</v>
      </c>
      <c r="F14" s="16" t="s">
        <v>26</v>
      </c>
      <c r="G14" s="18"/>
      <c r="H14" s="16" t="s">
        <v>181</v>
      </c>
      <c r="I14" s="16" t="s">
        <v>192</v>
      </c>
      <c r="J14" s="61" t="s">
        <v>120</v>
      </c>
      <c r="L14" s="19" t="s">
        <v>121</v>
      </c>
      <c r="M14" s="19"/>
      <c r="N14" s="36" t="s">
        <v>142</v>
      </c>
      <c r="O14" s="39">
        <v>2</v>
      </c>
      <c r="P14" s="55">
        <f t="shared" si="0"/>
        <v>24</v>
      </c>
      <c r="Q14" s="55">
        <f t="shared" si="1"/>
        <v>30</v>
      </c>
      <c r="R14" s="76"/>
    </row>
    <row r="15" spans="1:18">
      <c r="A15" s="24">
        <v>46248</v>
      </c>
      <c r="B15" s="4" t="s">
        <v>23</v>
      </c>
      <c r="C15" s="7">
        <f t="shared" si="3"/>
        <v>11</v>
      </c>
      <c r="D15" s="73" t="s">
        <v>34</v>
      </c>
      <c r="E15" s="73" t="s">
        <v>34</v>
      </c>
      <c r="F15" s="73"/>
      <c r="G15" s="18"/>
      <c r="H15" s="73"/>
      <c r="I15" s="73"/>
      <c r="J15" s="73"/>
      <c r="L15" s="19" t="s">
        <v>122</v>
      </c>
      <c r="M15" s="19"/>
      <c r="N15" s="36" t="s">
        <v>143</v>
      </c>
      <c r="O15" s="39">
        <v>2</v>
      </c>
      <c r="P15" s="55">
        <f t="shared" si="0"/>
        <v>24</v>
      </c>
      <c r="Q15" s="55">
        <f t="shared" si="1"/>
        <v>30</v>
      </c>
      <c r="R15" s="76" t="s">
        <v>66</v>
      </c>
    </row>
    <row r="16" spans="1:18">
      <c r="A16" s="24">
        <v>46249</v>
      </c>
      <c r="B16" s="4" t="s">
        <v>24</v>
      </c>
      <c r="C16" s="9" t="s">
        <v>33</v>
      </c>
      <c r="D16" s="73"/>
      <c r="E16" s="73"/>
      <c r="F16" s="73"/>
      <c r="G16" s="18"/>
      <c r="H16" s="73"/>
      <c r="I16" s="73"/>
      <c r="J16" s="73"/>
      <c r="L16" s="19"/>
      <c r="M16" s="19"/>
      <c r="N16" s="37" t="s">
        <v>35</v>
      </c>
      <c r="O16" s="70">
        <v>4</v>
      </c>
      <c r="P16" s="55">
        <f t="shared" ref="P16:P27" si="4">Q16/1.25</f>
        <v>48</v>
      </c>
      <c r="Q16" s="55">
        <f t="shared" ref="Q16:Q27" si="5">O16*15</f>
        <v>60</v>
      </c>
      <c r="R16" s="56"/>
    </row>
    <row r="17" spans="1:18">
      <c r="A17" s="24">
        <v>46250</v>
      </c>
      <c r="B17" s="4" t="s">
        <v>25</v>
      </c>
      <c r="C17" s="9"/>
      <c r="D17" s="21"/>
      <c r="E17" s="21"/>
      <c r="F17" s="22"/>
      <c r="G17" s="6"/>
      <c r="H17" s="22"/>
      <c r="I17" s="21"/>
      <c r="J17" s="75"/>
      <c r="L17" s="19" t="s">
        <v>123</v>
      </c>
      <c r="M17" s="19"/>
      <c r="N17" s="37" t="s">
        <v>144</v>
      </c>
      <c r="O17" s="72">
        <v>2</v>
      </c>
      <c r="P17" s="55">
        <f t="shared" si="4"/>
        <v>24</v>
      </c>
      <c r="Q17" s="55">
        <f t="shared" si="5"/>
        <v>30</v>
      </c>
      <c r="R17" s="56"/>
    </row>
    <row r="18" spans="1:18">
      <c r="A18" s="24">
        <v>46251</v>
      </c>
      <c r="B18" s="4" t="s">
        <v>19</v>
      </c>
      <c r="C18" s="9">
        <f>C15+1</f>
        <v>12</v>
      </c>
      <c r="D18" s="61" t="s">
        <v>96</v>
      </c>
      <c r="E18" s="16" t="s">
        <v>119</v>
      </c>
      <c r="F18" s="4" t="s">
        <v>97</v>
      </c>
      <c r="G18" s="18"/>
      <c r="H18" s="15" t="s">
        <v>203</v>
      </c>
      <c r="I18" s="16" t="s">
        <v>98</v>
      </c>
      <c r="J18" s="61" t="s">
        <v>94</v>
      </c>
      <c r="K18" s="5" t="s">
        <v>216</v>
      </c>
      <c r="L18" s="19" t="s">
        <v>89</v>
      </c>
      <c r="M18" s="19"/>
      <c r="N18" s="37" t="s">
        <v>145</v>
      </c>
      <c r="O18" s="72">
        <v>2</v>
      </c>
      <c r="P18" s="55">
        <f t="shared" si="4"/>
        <v>24</v>
      </c>
      <c r="Q18" s="55">
        <f t="shared" si="5"/>
        <v>30</v>
      </c>
      <c r="R18" s="56" t="s">
        <v>80</v>
      </c>
    </row>
    <row r="19" spans="1:18" ht="25.5">
      <c r="A19" s="24">
        <v>46252</v>
      </c>
      <c r="B19" s="4" t="s">
        <v>20</v>
      </c>
      <c r="C19" s="9">
        <f>C18+1</f>
        <v>13</v>
      </c>
      <c r="D19" s="61" t="s">
        <v>28</v>
      </c>
      <c r="E19" s="16" t="s">
        <v>175</v>
      </c>
      <c r="F19" s="16" t="s">
        <v>187</v>
      </c>
      <c r="G19" s="18"/>
      <c r="H19" s="16" t="s">
        <v>190</v>
      </c>
      <c r="I19" s="16" t="s">
        <v>83</v>
      </c>
      <c r="J19" s="61" t="s">
        <v>93</v>
      </c>
      <c r="K19" s="5" t="s">
        <v>217</v>
      </c>
      <c r="L19" s="64" t="s">
        <v>90</v>
      </c>
      <c r="M19" s="64"/>
      <c r="N19" s="65" t="s">
        <v>146</v>
      </c>
      <c r="O19" s="66">
        <v>2</v>
      </c>
      <c r="P19" s="67">
        <f t="shared" si="4"/>
        <v>24</v>
      </c>
      <c r="Q19" s="67">
        <f t="shared" si="5"/>
        <v>30</v>
      </c>
      <c r="R19" s="68" t="s">
        <v>30</v>
      </c>
    </row>
    <row r="20" spans="1:18" ht="25.5">
      <c r="A20" s="24">
        <v>46253</v>
      </c>
      <c r="B20" s="4" t="s">
        <v>21</v>
      </c>
      <c r="C20" s="9">
        <f t="shared" ref="C20:C23" si="6">C19+1</f>
        <v>14</v>
      </c>
      <c r="D20" s="17" t="s">
        <v>126</v>
      </c>
      <c r="E20" s="4" t="s">
        <v>95</v>
      </c>
      <c r="F20" s="17" t="s">
        <v>178</v>
      </c>
      <c r="G20" s="18"/>
      <c r="H20" s="16" t="s">
        <v>191</v>
      </c>
      <c r="I20" s="16" t="s">
        <v>184</v>
      </c>
      <c r="J20" s="61" t="s">
        <v>118</v>
      </c>
      <c r="L20" s="19" t="s">
        <v>124</v>
      </c>
      <c r="M20" s="19"/>
      <c r="N20" s="36" t="s">
        <v>147</v>
      </c>
      <c r="O20" s="41">
        <v>2</v>
      </c>
      <c r="P20" s="55">
        <f t="shared" si="4"/>
        <v>24</v>
      </c>
      <c r="Q20" s="55">
        <f t="shared" si="5"/>
        <v>30</v>
      </c>
      <c r="R20" s="56" t="s">
        <v>69</v>
      </c>
    </row>
    <row r="21" spans="1:18" ht="25.5">
      <c r="A21" s="24">
        <v>46254</v>
      </c>
      <c r="B21" s="4" t="s">
        <v>22</v>
      </c>
      <c r="C21" s="9">
        <f t="shared" si="6"/>
        <v>15</v>
      </c>
      <c r="D21" s="4" t="s">
        <v>116</v>
      </c>
      <c r="E21" s="17" t="s">
        <v>183</v>
      </c>
      <c r="F21" s="16" t="s">
        <v>26</v>
      </c>
      <c r="G21" s="18"/>
      <c r="H21" s="16" t="s">
        <v>202</v>
      </c>
      <c r="I21" s="16" t="s">
        <v>192</v>
      </c>
      <c r="J21" s="61" t="s">
        <v>120</v>
      </c>
      <c r="L21" s="19" t="s">
        <v>91</v>
      </c>
      <c r="M21" s="19"/>
      <c r="N21" s="36" t="s">
        <v>36</v>
      </c>
      <c r="O21" s="39">
        <v>2</v>
      </c>
      <c r="P21" s="55">
        <f t="shared" si="4"/>
        <v>24</v>
      </c>
      <c r="Q21" s="55">
        <f t="shared" si="5"/>
        <v>30</v>
      </c>
      <c r="R21" s="56" t="s">
        <v>193</v>
      </c>
    </row>
    <row r="22" spans="1:18">
      <c r="A22" s="24">
        <v>46255</v>
      </c>
      <c r="B22" s="4" t="s">
        <v>23</v>
      </c>
      <c r="C22" s="9">
        <f t="shared" si="6"/>
        <v>16</v>
      </c>
      <c r="D22" s="73" t="s">
        <v>34</v>
      </c>
      <c r="E22" s="73" t="s">
        <v>34</v>
      </c>
      <c r="F22" s="73" t="s">
        <v>44</v>
      </c>
      <c r="G22" s="18"/>
      <c r="H22" s="73" t="s">
        <v>134</v>
      </c>
      <c r="I22" s="73" t="s">
        <v>134</v>
      </c>
      <c r="J22" s="73" t="s">
        <v>134</v>
      </c>
      <c r="L22" s="19" t="s">
        <v>125</v>
      </c>
      <c r="M22" s="19"/>
      <c r="N22" s="36" t="s">
        <v>148</v>
      </c>
      <c r="O22" s="39">
        <v>2</v>
      </c>
      <c r="P22" s="55">
        <f t="shared" si="4"/>
        <v>24</v>
      </c>
      <c r="Q22" s="55">
        <f t="shared" si="5"/>
        <v>30</v>
      </c>
      <c r="R22" s="56" t="s">
        <v>130</v>
      </c>
    </row>
    <row r="23" spans="1:18">
      <c r="A23" s="24">
        <v>46256</v>
      </c>
      <c r="B23" s="4" t="s">
        <v>24</v>
      </c>
      <c r="C23" s="9">
        <f t="shared" si="6"/>
        <v>17</v>
      </c>
      <c r="D23" s="73"/>
      <c r="E23" s="73"/>
      <c r="F23" s="73" t="s">
        <v>32</v>
      </c>
      <c r="G23" s="18"/>
      <c r="H23" s="73" t="s">
        <v>32</v>
      </c>
      <c r="I23" s="73"/>
      <c r="J23" s="73"/>
      <c r="L23" s="32" t="s">
        <v>92</v>
      </c>
      <c r="M23" s="32"/>
      <c r="N23" s="62" t="s">
        <v>149</v>
      </c>
      <c r="O23" s="39">
        <v>2</v>
      </c>
      <c r="P23" s="55">
        <f t="shared" si="4"/>
        <v>24</v>
      </c>
      <c r="Q23" s="55">
        <f t="shared" si="5"/>
        <v>30</v>
      </c>
      <c r="R23" s="56" t="s">
        <v>70</v>
      </c>
    </row>
    <row r="24" spans="1:18">
      <c r="A24" s="24">
        <v>46257</v>
      </c>
      <c r="B24" s="4" t="s">
        <v>25</v>
      </c>
      <c r="C24" s="9"/>
      <c r="D24" s="21"/>
      <c r="E24" s="21"/>
      <c r="F24" s="22"/>
      <c r="G24" s="6"/>
      <c r="H24" s="22"/>
      <c r="I24" s="21"/>
      <c r="J24" s="75"/>
      <c r="L24" s="19" t="s">
        <v>29</v>
      </c>
      <c r="M24" s="19"/>
      <c r="N24" s="37" t="s">
        <v>150</v>
      </c>
      <c r="O24" s="74">
        <v>2</v>
      </c>
      <c r="P24" s="55">
        <f t="shared" si="4"/>
        <v>24</v>
      </c>
      <c r="Q24" s="55">
        <f t="shared" si="5"/>
        <v>30</v>
      </c>
      <c r="R24" s="56" t="s">
        <v>71</v>
      </c>
    </row>
    <row r="25" spans="1:18">
      <c r="A25" s="5"/>
      <c r="D25" s="5"/>
      <c r="E25" s="5"/>
      <c r="F25" s="5"/>
      <c r="G25" s="5"/>
      <c r="H25" s="5"/>
      <c r="I25" s="5"/>
      <c r="J25" s="5"/>
      <c r="L25" s="19" t="s">
        <v>114</v>
      </c>
      <c r="M25" s="19"/>
      <c r="N25" s="37" t="s">
        <v>151</v>
      </c>
      <c r="O25" s="74">
        <v>2</v>
      </c>
      <c r="P25" s="55">
        <f t="shared" si="4"/>
        <v>24</v>
      </c>
      <c r="Q25" s="55">
        <f t="shared" si="5"/>
        <v>30</v>
      </c>
      <c r="R25" s="56" t="s">
        <v>130</v>
      </c>
    </row>
    <row r="26" spans="1:18">
      <c r="A26" s="5"/>
      <c r="D26" s="5"/>
      <c r="E26" s="5"/>
      <c r="F26" s="5"/>
      <c r="G26" s="5"/>
      <c r="H26" s="5"/>
      <c r="I26" s="5"/>
      <c r="J26" s="5"/>
      <c r="L26" s="19" t="s">
        <v>179</v>
      </c>
      <c r="M26" s="19"/>
      <c r="N26" s="71" t="s">
        <v>180</v>
      </c>
      <c r="O26" s="74">
        <v>2</v>
      </c>
      <c r="P26" s="55">
        <f t="shared" si="4"/>
        <v>24</v>
      </c>
      <c r="Q26" s="55">
        <f t="shared" si="5"/>
        <v>30</v>
      </c>
      <c r="R26" s="37" t="s">
        <v>201</v>
      </c>
    </row>
    <row r="27" spans="1:18">
      <c r="A27" s="5"/>
      <c r="D27" s="5"/>
      <c r="E27" s="5"/>
      <c r="F27" s="5"/>
      <c r="G27" s="5"/>
      <c r="H27" s="5"/>
      <c r="I27" s="5"/>
      <c r="J27" s="5"/>
      <c r="L27" s="19" t="s">
        <v>93</v>
      </c>
      <c r="M27" s="19"/>
      <c r="N27" s="37" t="s">
        <v>152</v>
      </c>
      <c r="O27" s="74">
        <v>2</v>
      </c>
      <c r="P27" s="55">
        <f t="shared" si="4"/>
        <v>24</v>
      </c>
      <c r="Q27" s="55">
        <f t="shared" si="5"/>
        <v>30</v>
      </c>
      <c r="R27" s="56" t="s">
        <v>72</v>
      </c>
    </row>
    <row r="28" spans="1:18">
      <c r="A28" s="5"/>
      <c r="D28" s="5"/>
      <c r="E28" s="5"/>
      <c r="F28" s="5"/>
      <c r="G28" s="5"/>
      <c r="H28" s="5"/>
      <c r="I28" s="5"/>
      <c r="J28" s="5"/>
      <c r="L28" s="19" t="s">
        <v>94</v>
      </c>
      <c r="M28" s="19"/>
      <c r="N28" s="37" t="s">
        <v>153</v>
      </c>
      <c r="O28" s="74">
        <v>2</v>
      </c>
      <c r="P28" s="55">
        <f t="shared" ref="P28:P40" si="7">Q28/1.25</f>
        <v>24</v>
      </c>
      <c r="Q28" s="55">
        <f t="shared" ref="Q28:Q40" si="8">O28*15</f>
        <v>30</v>
      </c>
      <c r="R28" s="56" t="s">
        <v>73</v>
      </c>
    </row>
    <row r="29" spans="1:18">
      <c r="A29" s="5"/>
      <c r="D29" s="5"/>
      <c r="E29" s="5"/>
      <c r="F29" s="5"/>
      <c r="G29" s="5"/>
      <c r="H29" s="5"/>
      <c r="I29" s="5"/>
      <c r="J29" s="5"/>
      <c r="L29" s="64" t="s">
        <v>115</v>
      </c>
      <c r="M29" s="64"/>
      <c r="N29" s="65" t="s">
        <v>154</v>
      </c>
      <c r="O29" s="39">
        <v>2</v>
      </c>
      <c r="P29" s="55">
        <f t="shared" si="7"/>
        <v>24</v>
      </c>
      <c r="Q29" s="55">
        <f t="shared" si="8"/>
        <v>30</v>
      </c>
      <c r="R29" s="56" t="s">
        <v>131</v>
      </c>
    </row>
    <row r="30" spans="1:18">
      <c r="A30" s="5"/>
      <c r="D30" s="5"/>
      <c r="E30" s="5"/>
      <c r="F30" s="5"/>
      <c r="G30" s="5"/>
      <c r="H30" s="5"/>
      <c r="I30" s="5"/>
      <c r="J30" s="5"/>
      <c r="L30" s="19" t="s">
        <v>118</v>
      </c>
      <c r="M30" s="19"/>
      <c r="N30" s="36" t="s">
        <v>155</v>
      </c>
      <c r="O30" s="39">
        <v>2</v>
      </c>
      <c r="P30" s="55">
        <f t="shared" si="7"/>
        <v>24</v>
      </c>
      <c r="Q30" s="55">
        <f t="shared" si="8"/>
        <v>30</v>
      </c>
      <c r="R30" s="56" t="s">
        <v>63</v>
      </c>
    </row>
    <row r="31" spans="1:18">
      <c r="A31" s="5"/>
      <c r="D31" s="5"/>
      <c r="E31" s="5"/>
      <c r="F31" s="5"/>
      <c r="G31" s="5"/>
      <c r="H31" s="5"/>
      <c r="I31" s="5"/>
      <c r="J31" s="5"/>
      <c r="L31" s="19" t="s">
        <v>95</v>
      </c>
      <c r="M31" s="19"/>
      <c r="N31" s="36" t="s">
        <v>156</v>
      </c>
      <c r="O31" s="39">
        <v>2</v>
      </c>
      <c r="P31" s="55">
        <f t="shared" si="7"/>
        <v>24</v>
      </c>
      <c r="Q31" s="55">
        <f t="shared" si="8"/>
        <v>30</v>
      </c>
      <c r="R31" s="76" t="s">
        <v>189</v>
      </c>
    </row>
    <row r="32" spans="1:18">
      <c r="A32" s="5"/>
      <c r="D32" s="5"/>
      <c r="E32" s="5"/>
      <c r="F32" s="5"/>
      <c r="G32" s="5"/>
      <c r="H32" s="5"/>
      <c r="I32" s="5"/>
      <c r="J32" s="5"/>
      <c r="L32" s="19" t="s">
        <v>126</v>
      </c>
      <c r="M32" s="19"/>
      <c r="N32" s="36" t="s">
        <v>157</v>
      </c>
      <c r="O32" s="39">
        <v>2</v>
      </c>
      <c r="P32" s="55">
        <f t="shared" si="7"/>
        <v>24</v>
      </c>
      <c r="Q32" s="55">
        <f t="shared" si="8"/>
        <v>30</v>
      </c>
      <c r="R32" s="56" t="s">
        <v>59</v>
      </c>
    </row>
    <row r="33" spans="1:18">
      <c r="A33" s="5"/>
      <c r="D33" s="5"/>
      <c r="E33" s="5"/>
      <c r="F33" s="5"/>
      <c r="G33" s="5"/>
      <c r="H33" s="5"/>
      <c r="I33" s="5"/>
      <c r="J33" s="5"/>
      <c r="L33" s="19" t="s">
        <v>116</v>
      </c>
      <c r="M33" s="19"/>
      <c r="N33" s="36" t="s">
        <v>158</v>
      </c>
      <c r="O33" s="39">
        <v>2</v>
      </c>
      <c r="P33" s="55">
        <f t="shared" si="7"/>
        <v>24</v>
      </c>
      <c r="Q33" s="55">
        <f t="shared" si="8"/>
        <v>30</v>
      </c>
      <c r="R33" s="56" t="s">
        <v>60</v>
      </c>
    </row>
    <row r="34" spans="1:18">
      <c r="A34" s="5"/>
      <c r="D34" s="5"/>
      <c r="E34" s="5"/>
      <c r="F34" s="5"/>
      <c r="G34" s="5"/>
      <c r="H34" s="5"/>
      <c r="I34" s="5"/>
      <c r="J34" s="5"/>
      <c r="L34" s="19" t="s">
        <v>96</v>
      </c>
      <c r="M34" s="19"/>
      <c r="N34" s="36" t="s">
        <v>159</v>
      </c>
      <c r="O34" s="39">
        <v>2</v>
      </c>
      <c r="P34" s="55">
        <f t="shared" si="7"/>
        <v>24</v>
      </c>
      <c r="Q34" s="55">
        <f t="shared" si="8"/>
        <v>30</v>
      </c>
      <c r="R34" s="56" t="s">
        <v>27</v>
      </c>
    </row>
    <row r="35" spans="1:18">
      <c r="A35" s="5"/>
      <c r="D35" s="5"/>
      <c r="E35" s="5"/>
      <c r="F35" s="5"/>
      <c r="G35" s="5"/>
      <c r="H35" s="5"/>
      <c r="I35" s="5"/>
      <c r="J35" s="5"/>
      <c r="L35" s="19" t="s">
        <v>119</v>
      </c>
      <c r="M35" s="19"/>
      <c r="N35" s="36" t="s">
        <v>160</v>
      </c>
      <c r="O35" s="39">
        <v>2</v>
      </c>
      <c r="P35" s="55">
        <f t="shared" si="7"/>
        <v>24</v>
      </c>
      <c r="Q35" s="55">
        <f t="shared" si="8"/>
        <v>30</v>
      </c>
      <c r="R35" s="56" t="s">
        <v>30</v>
      </c>
    </row>
    <row r="36" spans="1:18">
      <c r="A36" s="5"/>
      <c r="D36" s="5"/>
      <c r="E36" s="5"/>
      <c r="F36" s="5"/>
      <c r="G36" s="5"/>
      <c r="H36" s="5"/>
      <c r="I36" s="5"/>
      <c r="J36" s="5"/>
      <c r="L36" s="19" t="s">
        <v>26</v>
      </c>
      <c r="M36" s="19"/>
      <c r="N36" s="36" t="s">
        <v>161</v>
      </c>
      <c r="O36" s="39">
        <v>2</v>
      </c>
      <c r="P36" s="55">
        <f t="shared" si="7"/>
        <v>24</v>
      </c>
      <c r="Q36" s="55">
        <f t="shared" si="8"/>
        <v>30</v>
      </c>
      <c r="R36" s="56" t="s">
        <v>186</v>
      </c>
    </row>
    <row r="37" spans="1:18">
      <c r="A37" s="5"/>
      <c r="D37" s="5"/>
      <c r="E37" s="5"/>
      <c r="F37" s="5"/>
      <c r="G37" s="5"/>
      <c r="H37" s="5"/>
      <c r="I37" s="5"/>
      <c r="J37" s="5"/>
      <c r="L37" s="19" t="s">
        <v>97</v>
      </c>
      <c r="M37" s="19"/>
      <c r="N37" s="36" t="s">
        <v>162</v>
      </c>
      <c r="O37" s="39">
        <v>2</v>
      </c>
      <c r="P37" s="55">
        <f t="shared" si="7"/>
        <v>24</v>
      </c>
      <c r="Q37" s="55">
        <f t="shared" si="8"/>
        <v>30</v>
      </c>
      <c r="R37" s="56" t="s">
        <v>74</v>
      </c>
    </row>
    <row r="38" spans="1:18">
      <c r="A38" s="5"/>
      <c r="D38" s="5"/>
      <c r="E38" s="5"/>
      <c r="F38" s="5"/>
      <c r="G38" s="5"/>
      <c r="H38" s="5"/>
      <c r="I38" s="5"/>
      <c r="J38" s="5"/>
      <c r="L38" s="19" t="s">
        <v>98</v>
      </c>
      <c r="M38" s="19"/>
      <c r="N38" s="36" t="s">
        <v>163</v>
      </c>
      <c r="O38" s="39">
        <v>2</v>
      </c>
      <c r="P38" s="55">
        <f t="shared" si="7"/>
        <v>24</v>
      </c>
      <c r="Q38" s="55">
        <f t="shared" si="8"/>
        <v>30</v>
      </c>
      <c r="R38" s="56" t="s">
        <v>135</v>
      </c>
    </row>
    <row r="39" spans="1:18">
      <c r="A39" s="5"/>
      <c r="D39" s="5"/>
      <c r="E39" s="5"/>
      <c r="F39" s="5"/>
      <c r="G39" s="5"/>
      <c r="H39" s="5"/>
      <c r="I39" s="5"/>
      <c r="J39" s="5"/>
      <c r="L39" s="19" t="s">
        <v>28</v>
      </c>
      <c r="M39" s="19"/>
      <c r="N39" s="36" t="s">
        <v>164</v>
      </c>
      <c r="O39" s="39">
        <v>2</v>
      </c>
      <c r="P39" s="55">
        <f t="shared" si="7"/>
        <v>24</v>
      </c>
      <c r="Q39" s="55">
        <f t="shared" si="8"/>
        <v>30</v>
      </c>
      <c r="R39" s="37" t="s">
        <v>185</v>
      </c>
    </row>
    <row r="40" spans="1:18">
      <c r="A40" s="5"/>
      <c r="D40" s="5"/>
      <c r="E40" s="5"/>
      <c r="F40" s="5"/>
      <c r="G40" s="5"/>
      <c r="H40" s="5"/>
      <c r="I40" s="5"/>
      <c r="J40" s="5"/>
      <c r="L40" s="79" t="s">
        <v>205</v>
      </c>
      <c r="M40" s="79"/>
      <c r="N40" s="80" t="s">
        <v>204</v>
      </c>
      <c r="O40" s="81">
        <v>2</v>
      </c>
      <c r="P40" s="82">
        <f t="shared" si="7"/>
        <v>24</v>
      </c>
      <c r="Q40" s="82">
        <f t="shared" si="8"/>
        <v>30</v>
      </c>
      <c r="R40" s="83" t="s">
        <v>211</v>
      </c>
    </row>
    <row r="41" spans="1:18">
      <c r="A41" s="5"/>
      <c r="D41" s="5"/>
      <c r="E41" s="5"/>
      <c r="F41" s="5"/>
      <c r="G41" s="5"/>
      <c r="H41" s="5"/>
      <c r="I41" s="5"/>
      <c r="J41" s="5"/>
      <c r="L41" s="19" t="s">
        <v>127</v>
      </c>
      <c r="M41" s="19"/>
      <c r="N41" s="42" t="s">
        <v>165</v>
      </c>
      <c r="O41" s="41">
        <v>2</v>
      </c>
      <c r="P41" s="55">
        <f t="shared" ref="P41:P60" si="9">Q41/1.25</f>
        <v>24</v>
      </c>
      <c r="Q41" s="55">
        <f t="shared" ref="Q41:Q60" si="10">O41*15</f>
        <v>30</v>
      </c>
      <c r="R41" s="56"/>
    </row>
    <row r="42" spans="1:18">
      <c r="A42" s="5"/>
      <c r="D42" s="5"/>
      <c r="E42" s="5"/>
      <c r="F42" s="5"/>
      <c r="G42" s="5"/>
      <c r="H42" s="5"/>
      <c r="I42" s="5"/>
      <c r="J42" s="5"/>
      <c r="L42" s="19" t="s">
        <v>99</v>
      </c>
      <c r="M42" s="19"/>
      <c r="N42" s="42" t="s">
        <v>166</v>
      </c>
      <c r="O42" s="41">
        <v>2</v>
      </c>
      <c r="P42" s="55">
        <f t="shared" si="9"/>
        <v>24</v>
      </c>
      <c r="Q42" s="55">
        <f t="shared" si="10"/>
        <v>30</v>
      </c>
      <c r="R42" s="56"/>
    </row>
    <row r="43" spans="1:18">
      <c r="A43" s="5"/>
      <c r="D43" s="5"/>
      <c r="E43" s="5"/>
      <c r="F43" s="5"/>
      <c r="G43" s="5"/>
      <c r="H43" s="5"/>
      <c r="I43" s="5"/>
      <c r="J43" s="5"/>
      <c r="L43" s="19" t="s">
        <v>100</v>
      </c>
      <c r="M43" s="19"/>
      <c r="N43" s="42" t="s">
        <v>167</v>
      </c>
      <c r="O43" s="41">
        <v>2</v>
      </c>
      <c r="P43" s="55">
        <f t="shared" si="9"/>
        <v>24</v>
      </c>
      <c r="Q43" s="55">
        <f t="shared" si="10"/>
        <v>30</v>
      </c>
      <c r="R43" s="56"/>
    </row>
    <row r="44" spans="1:18">
      <c r="A44" s="5"/>
      <c r="D44" s="5"/>
      <c r="E44" s="5"/>
      <c r="F44" s="5"/>
      <c r="G44" s="5"/>
      <c r="H44" s="5"/>
      <c r="I44" s="5"/>
      <c r="J44" s="5"/>
      <c r="L44" s="19" t="s">
        <v>101</v>
      </c>
      <c r="M44" s="19"/>
      <c r="N44" s="42" t="s">
        <v>168</v>
      </c>
      <c r="O44" s="41">
        <v>2</v>
      </c>
      <c r="P44" s="55">
        <f t="shared" si="9"/>
        <v>24</v>
      </c>
      <c r="Q44" s="55">
        <f t="shared" si="10"/>
        <v>30</v>
      </c>
      <c r="R44" s="56"/>
    </row>
    <row r="45" spans="1:18">
      <c r="A45" s="5"/>
      <c r="D45" s="5"/>
      <c r="E45" s="5"/>
      <c r="F45" s="5"/>
      <c r="G45" s="5"/>
      <c r="H45" s="5"/>
      <c r="I45" s="5"/>
      <c r="J45" s="5"/>
      <c r="L45" s="19" t="s">
        <v>102</v>
      </c>
      <c r="M45" s="19"/>
      <c r="N45" s="42" t="s">
        <v>169</v>
      </c>
      <c r="O45" s="39">
        <v>2</v>
      </c>
      <c r="P45" s="55">
        <f t="shared" si="9"/>
        <v>24</v>
      </c>
      <c r="Q45" s="55">
        <f t="shared" si="10"/>
        <v>30</v>
      </c>
      <c r="R45" s="56" t="s">
        <v>182</v>
      </c>
    </row>
    <row r="46" spans="1:18">
      <c r="A46" s="5"/>
      <c r="D46" s="5"/>
      <c r="E46" s="5"/>
      <c r="F46" s="5"/>
      <c r="G46" s="5"/>
      <c r="H46" s="5"/>
      <c r="I46" s="5"/>
      <c r="J46" s="5"/>
      <c r="L46" s="19" t="s">
        <v>103</v>
      </c>
      <c r="M46" s="19"/>
      <c r="N46" s="42" t="s">
        <v>170</v>
      </c>
      <c r="O46" s="39">
        <v>2</v>
      </c>
      <c r="P46" s="55">
        <f t="shared" si="9"/>
        <v>24</v>
      </c>
      <c r="Q46" s="55">
        <f t="shared" si="10"/>
        <v>30</v>
      </c>
      <c r="R46" s="56" t="s">
        <v>76</v>
      </c>
    </row>
    <row r="47" spans="1:18">
      <c r="A47" s="5"/>
      <c r="D47" s="5"/>
      <c r="E47" s="5"/>
      <c r="F47" s="5"/>
      <c r="G47" s="5"/>
      <c r="H47" s="5"/>
      <c r="I47" s="5"/>
      <c r="J47" s="5"/>
      <c r="L47" s="19" t="s">
        <v>104</v>
      </c>
      <c r="M47" s="19"/>
      <c r="N47" s="36" t="s">
        <v>171</v>
      </c>
      <c r="O47" s="39">
        <v>2</v>
      </c>
      <c r="P47" s="55">
        <f t="shared" si="9"/>
        <v>24</v>
      </c>
      <c r="Q47" s="55">
        <f t="shared" si="10"/>
        <v>30</v>
      </c>
      <c r="R47" s="56" t="s">
        <v>72</v>
      </c>
    </row>
    <row r="48" spans="1:18">
      <c r="A48" s="5"/>
      <c r="D48" s="5"/>
      <c r="E48" s="5"/>
      <c r="F48" s="5"/>
      <c r="G48" s="5"/>
      <c r="H48" s="5"/>
      <c r="I48" s="5"/>
      <c r="J48" s="5"/>
      <c r="L48" s="19" t="s">
        <v>105</v>
      </c>
      <c r="M48" s="19"/>
      <c r="N48" s="36" t="s">
        <v>172</v>
      </c>
      <c r="O48" s="39">
        <v>2</v>
      </c>
      <c r="P48" s="55">
        <f t="shared" si="9"/>
        <v>24</v>
      </c>
      <c r="Q48" s="55">
        <f t="shared" si="10"/>
        <v>30</v>
      </c>
      <c r="R48" s="56" t="s">
        <v>77</v>
      </c>
    </row>
    <row r="49" spans="1:18">
      <c r="A49" s="5"/>
      <c r="D49" s="5"/>
      <c r="E49" s="5"/>
      <c r="F49" s="5"/>
      <c r="G49" s="5"/>
      <c r="H49" s="5"/>
      <c r="I49" s="5"/>
      <c r="J49" s="5"/>
      <c r="L49" s="19" t="s">
        <v>128</v>
      </c>
      <c r="M49" s="19"/>
      <c r="N49" s="36" t="s">
        <v>173</v>
      </c>
      <c r="O49" s="39">
        <v>2</v>
      </c>
      <c r="P49" s="55">
        <f t="shared" si="9"/>
        <v>24</v>
      </c>
      <c r="Q49" s="55">
        <f t="shared" si="10"/>
        <v>30</v>
      </c>
      <c r="R49" s="56" t="s">
        <v>78</v>
      </c>
    </row>
    <row r="50" spans="1:18">
      <c r="A50" s="5"/>
      <c r="D50" s="5"/>
      <c r="E50" s="5"/>
      <c r="F50" s="5"/>
      <c r="G50" s="5"/>
      <c r="H50" s="5"/>
      <c r="I50" s="5"/>
      <c r="J50" s="5"/>
      <c r="L50" s="19"/>
      <c r="M50" s="19"/>
      <c r="N50" s="36" t="s">
        <v>174</v>
      </c>
      <c r="O50" s="39">
        <v>2</v>
      </c>
      <c r="P50" s="55">
        <f t="shared" si="9"/>
        <v>24</v>
      </c>
      <c r="Q50" s="55">
        <f t="shared" si="10"/>
        <v>30</v>
      </c>
      <c r="R50" s="56" t="s">
        <v>79</v>
      </c>
    </row>
    <row r="51" spans="1:18">
      <c r="A51" s="5"/>
      <c r="D51" s="5"/>
      <c r="E51" s="5"/>
      <c r="F51" s="5"/>
      <c r="G51" s="5"/>
      <c r="H51" s="5"/>
      <c r="I51" s="5"/>
      <c r="J51" s="5"/>
      <c r="L51" s="32"/>
      <c r="M51" s="32" t="s">
        <v>57</v>
      </c>
      <c r="N51" s="43" t="s">
        <v>45</v>
      </c>
      <c r="O51" s="44">
        <v>3</v>
      </c>
      <c r="P51" s="57">
        <f t="shared" si="9"/>
        <v>36</v>
      </c>
      <c r="Q51" s="57">
        <f t="shared" si="10"/>
        <v>45</v>
      </c>
      <c r="R51" s="38" t="s">
        <v>58</v>
      </c>
    </row>
    <row r="52" spans="1:18">
      <c r="A52" s="5"/>
      <c r="D52" s="5"/>
      <c r="E52" s="5"/>
      <c r="F52" s="5"/>
      <c r="G52" s="5"/>
      <c r="H52" s="5"/>
      <c r="I52" s="5"/>
      <c r="J52" s="5"/>
      <c r="L52" s="19"/>
      <c r="M52" s="19" t="s">
        <v>57</v>
      </c>
      <c r="N52" s="45" t="s">
        <v>56</v>
      </c>
      <c r="O52" s="46">
        <v>4</v>
      </c>
      <c r="P52" s="55">
        <f t="shared" si="9"/>
        <v>48</v>
      </c>
      <c r="Q52" s="55">
        <f t="shared" si="10"/>
        <v>60</v>
      </c>
      <c r="R52" s="38"/>
    </row>
    <row r="53" spans="1:18">
      <c r="A53" s="5"/>
      <c r="D53" s="5"/>
      <c r="E53" s="5"/>
      <c r="F53" s="5"/>
      <c r="G53" s="5"/>
      <c r="H53" s="5"/>
      <c r="I53" s="5"/>
      <c r="J53" s="5"/>
      <c r="L53" s="19" t="s">
        <v>126</v>
      </c>
      <c r="M53" s="19" t="s">
        <v>57</v>
      </c>
      <c r="N53" s="47" t="s">
        <v>39</v>
      </c>
      <c r="O53" s="46">
        <v>3</v>
      </c>
      <c r="P53" s="55">
        <f t="shared" si="9"/>
        <v>36</v>
      </c>
      <c r="Q53" s="55">
        <f t="shared" si="10"/>
        <v>45</v>
      </c>
      <c r="R53" s="38" t="s">
        <v>59</v>
      </c>
    </row>
    <row r="54" spans="1:18">
      <c r="A54" s="5"/>
      <c r="D54" s="5"/>
      <c r="E54" s="5"/>
      <c r="F54" s="5"/>
      <c r="G54" s="5"/>
      <c r="H54" s="5"/>
      <c r="I54" s="5"/>
      <c r="J54" s="5"/>
      <c r="L54" s="19" t="s">
        <v>116</v>
      </c>
      <c r="M54" s="19" t="s">
        <v>57</v>
      </c>
      <c r="N54" s="47" t="s">
        <v>40</v>
      </c>
      <c r="O54" s="46">
        <v>3</v>
      </c>
      <c r="P54" s="55">
        <f t="shared" si="9"/>
        <v>36</v>
      </c>
      <c r="Q54" s="55">
        <f t="shared" si="10"/>
        <v>45</v>
      </c>
      <c r="R54" s="38" t="s">
        <v>60</v>
      </c>
    </row>
    <row r="55" spans="1:18">
      <c r="A55" s="5"/>
      <c r="D55" s="5"/>
      <c r="E55" s="5"/>
      <c r="F55" s="5"/>
      <c r="G55" s="5"/>
      <c r="H55" s="5"/>
      <c r="I55" s="5"/>
      <c r="J55" s="5"/>
      <c r="L55" s="19" t="s">
        <v>106</v>
      </c>
      <c r="M55" s="19" t="s">
        <v>57</v>
      </c>
      <c r="N55" s="47" t="s">
        <v>46</v>
      </c>
      <c r="O55" s="46">
        <v>3</v>
      </c>
      <c r="P55" s="55">
        <f t="shared" si="9"/>
        <v>36</v>
      </c>
      <c r="Q55" s="55">
        <f t="shared" si="10"/>
        <v>45</v>
      </c>
      <c r="R55" s="38" t="s">
        <v>61</v>
      </c>
    </row>
    <row r="56" spans="1:18">
      <c r="A56" s="5"/>
      <c r="D56" s="5"/>
      <c r="E56" s="5"/>
      <c r="F56" s="5"/>
      <c r="G56" s="5"/>
      <c r="H56" s="5"/>
      <c r="I56" s="5"/>
      <c r="J56" s="5"/>
      <c r="L56" s="19" t="s">
        <v>107</v>
      </c>
      <c r="M56" s="19" t="s">
        <v>57</v>
      </c>
      <c r="N56" s="47" t="s">
        <v>47</v>
      </c>
      <c r="O56" s="46">
        <v>3</v>
      </c>
      <c r="P56" s="55">
        <f t="shared" si="9"/>
        <v>36</v>
      </c>
      <c r="Q56" s="55">
        <f t="shared" si="10"/>
        <v>45</v>
      </c>
      <c r="R56" s="38" t="s">
        <v>61</v>
      </c>
    </row>
    <row r="57" spans="1:18">
      <c r="A57" s="5"/>
      <c r="D57" s="5"/>
      <c r="E57" s="5"/>
      <c r="F57" s="5"/>
      <c r="G57" s="5"/>
      <c r="H57" s="5"/>
      <c r="I57" s="5"/>
      <c r="J57" s="5"/>
      <c r="L57" s="19" t="s">
        <v>108</v>
      </c>
      <c r="M57" s="19" t="s">
        <v>57</v>
      </c>
      <c r="N57" s="45" t="s">
        <v>48</v>
      </c>
      <c r="O57" s="46">
        <v>3</v>
      </c>
      <c r="P57" s="55">
        <f t="shared" si="9"/>
        <v>36</v>
      </c>
      <c r="Q57" s="55">
        <f t="shared" si="10"/>
        <v>45</v>
      </c>
      <c r="R57" s="38" t="s">
        <v>62</v>
      </c>
    </row>
    <row r="58" spans="1:18">
      <c r="A58" s="5"/>
      <c r="D58" s="5"/>
      <c r="E58" s="5"/>
      <c r="F58" s="5"/>
      <c r="G58" s="5"/>
      <c r="H58" s="5"/>
      <c r="I58" s="5"/>
      <c r="J58" s="5"/>
      <c r="L58" s="19" t="s">
        <v>118</v>
      </c>
      <c r="M58" s="19" t="s">
        <v>57</v>
      </c>
      <c r="N58" s="45" t="s">
        <v>38</v>
      </c>
      <c r="O58" s="46">
        <v>3</v>
      </c>
      <c r="P58" s="55">
        <f t="shared" si="9"/>
        <v>36</v>
      </c>
      <c r="Q58" s="55">
        <f t="shared" si="10"/>
        <v>45</v>
      </c>
      <c r="R58" s="38" t="s">
        <v>63</v>
      </c>
    </row>
    <row r="59" spans="1:18">
      <c r="A59" s="5"/>
      <c r="D59" s="5"/>
      <c r="E59" s="5"/>
      <c r="F59" s="5"/>
      <c r="G59" s="5"/>
      <c r="H59" s="5"/>
      <c r="I59" s="5"/>
      <c r="J59" s="5"/>
      <c r="L59" s="19" t="s">
        <v>115</v>
      </c>
      <c r="M59" s="19" t="s">
        <v>57</v>
      </c>
      <c r="N59" s="45" t="s">
        <v>37</v>
      </c>
      <c r="O59" s="46">
        <v>3</v>
      </c>
      <c r="P59" s="55">
        <f t="shared" si="9"/>
        <v>36</v>
      </c>
      <c r="Q59" s="55">
        <f t="shared" si="10"/>
        <v>45</v>
      </c>
      <c r="R59" s="38" t="s">
        <v>131</v>
      </c>
    </row>
    <row r="60" spans="1:18">
      <c r="A60" s="5"/>
      <c r="D60" s="5"/>
      <c r="E60" s="5"/>
      <c r="F60" s="5"/>
      <c r="G60" s="5"/>
      <c r="H60" s="5"/>
      <c r="I60" s="5"/>
      <c r="J60" s="5"/>
      <c r="L60" s="19" t="s">
        <v>109</v>
      </c>
      <c r="M60" s="19" t="s">
        <v>57</v>
      </c>
      <c r="N60" s="45" t="s">
        <v>49</v>
      </c>
      <c r="O60" s="46">
        <v>3</v>
      </c>
      <c r="P60" s="55">
        <f t="shared" si="9"/>
        <v>36</v>
      </c>
      <c r="Q60" s="55">
        <f t="shared" si="10"/>
        <v>45</v>
      </c>
      <c r="R60" s="38" t="s">
        <v>61</v>
      </c>
    </row>
    <row r="61" spans="1:18">
      <c r="A61" s="5"/>
      <c r="D61" s="5"/>
      <c r="E61" s="5"/>
      <c r="F61" s="5"/>
      <c r="G61" s="5"/>
      <c r="H61" s="5"/>
      <c r="I61" s="5"/>
      <c r="J61" s="5"/>
      <c r="L61" s="19" t="s">
        <v>110</v>
      </c>
      <c r="M61" s="19" t="s">
        <v>57</v>
      </c>
      <c r="N61" s="47" t="s">
        <v>50</v>
      </c>
      <c r="O61" s="46">
        <v>3</v>
      </c>
      <c r="P61" s="55">
        <f t="shared" ref="P61:P65" si="11">Q61/1.25</f>
        <v>36</v>
      </c>
      <c r="Q61" s="55">
        <f t="shared" ref="Q61:Q65" si="12">O61*15</f>
        <v>45</v>
      </c>
      <c r="R61" s="38" t="s">
        <v>60</v>
      </c>
    </row>
    <row r="62" spans="1:18">
      <c r="A62" s="5"/>
      <c r="D62" s="5"/>
      <c r="E62" s="5"/>
      <c r="F62" s="5"/>
      <c r="G62" s="5"/>
      <c r="H62" s="5"/>
      <c r="I62" s="5"/>
      <c r="J62" s="5"/>
      <c r="L62" s="19" t="s">
        <v>111</v>
      </c>
      <c r="M62" s="19" t="s">
        <v>57</v>
      </c>
      <c r="N62" s="47" t="s">
        <v>51</v>
      </c>
      <c r="O62" s="46">
        <v>3</v>
      </c>
      <c r="P62" s="55">
        <f t="shared" si="11"/>
        <v>36</v>
      </c>
      <c r="Q62" s="55">
        <f t="shared" si="12"/>
        <v>45</v>
      </c>
      <c r="R62" s="58" t="s">
        <v>64</v>
      </c>
    </row>
    <row r="63" spans="1:18">
      <c r="A63" s="5"/>
      <c r="D63" s="5"/>
      <c r="E63" s="5"/>
      <c r="F63" s="5"/>
      <c r="G63" s="5"/>
      <c r="H63" s="5"/>
      <c r="I63" s="5"/>
      <c r="J63" s="5"/>
      <c r="L63" s="19" t="s">
        <v>112</v>
      </c>
      <c r="M63" s="19" t="s">
        <v>57</v>
      </c>
      <c r="N63" s="47" t="s">
        <v>52</v>
      </c>
      <c r="O63" s="48">
        <v>3</v>
      </c>
      <c r="P63" s="55">
        <f t="shared" si="11"/>
        <v>36</v>
      </c>
      <c r="Q63" s="55">
        <f t="shared" si="12"/>
        <v>45</v>
      </c>
      <c r="R63" s="59" t="s">
        <v>64</v>
      </c>
    </row>
    <row r="64" spans="1:18">
      <c r="A64" s="5"/>
      <c r="D64" s="5"/>
      <c r="E64" s="5"/>
      <c r="F64" s="5"/>
      <c r="G64" s="5"/>
      <c r="H64" s="5"/>
      <c r="I64" s="5"/>
      <c r="J64" s="5"/>
      <c r="L64" s="19" t="s">
        <v>113</v>
      </c>
      <c r="M64" s="19" t="s">
        <v>57</v>
      </c>
      <c r="N64" s="45" t="s">
        <v>53</v>
      </c>
      <c r="O64" s="46">
        <v>3</v>
      </c>
      <c r="P64" s="55">
        <f t="shared" si="11"/>
        <v>36</v>
      </c>
      <c r="Q64" s="55">
        <f t="shared" si="12"/>
        <v>45</v>
      </c>
      <c r="R64" s="38" t="s">
        <v>132</v>
      </c>
    </row>
    <row r="65" spans="1:18">
      <c r="A65" s="5"/>
      <c r="D65" s="5"/>
      <c r="E65" s="5"/>
      <c r="F65" s="5"/>
      <c r="G65" s="5"/>
      <c r="H65" s="5"/>
      <c r="I65" s="5"/>
      <c r="J65" s="5"/>
      <c r="L65" s="19" t="s">
        <v>103</v>
      </c>
      <c r="M65" s="19" t="s">
        <v>57</v>
      </c>
      <c r="N65" s="45" t="s">
        <v>54</v>
      </c>
      <c r="O65" s="46">
        <v>3</v>
      </c>
      <c r="P65" s="55">
        <f t="shared" si="11"/>
        <v>36</v>
      </c>
      <c r="Q65" s="55">
        <f t="shared" si="12"/>
        <v>45</v>
      </c>
      <c r="R65" s="38" t="s">
        <v>133</v>
      </c>
    </row>
    <row r="66" spans="1:18">
      <c r="A66" s="5"/>
      <c r="D66" s="5"/>
      <c r="E66" s="5"/>
      <c r="F66" s="5"/>
      <c r="G66" s="5"/>
      <c r="H66" s="5"/>
      <c r="I66" s="5"/>
      <c r="J66" s="5"/>
      <c r="L66" s="49"/>
      <c r="M66" s="49"/>
      <c r="O66" s="51"/>
      <c r="P66" s="52"/>
      <c r="Q66" s="52"/>
      <c r="R66" s="50"/>
    </row>
    <row r="67" spans="1:18">
      <c r="A67" s="5"/>
      <c r="D67" s="5"/>
      <c r="E67" s="5"/>
      <c r="F67" s="5"/>
      <c r="G67" s="5"/>
      <c r="H67" s="5"/>
      <c r="I67" s="5"/>
      <c r="J67" s="5"/>
      <c r="L67" s="19"/>
      <c r="M67" s="60"/>
      <c r="N67" s="60" t="s">
        <v>31</v>
      </c>
      <c r="O67" s="60">
        <f>SUM(O3:O65)</f>
        <v>141</v>
      </c>
      <c r="P67" s="60">
        <f>SUM(P3:P65)</f>
        <v>1692</v>
      </c>
      <c r="Q67" s="60">
        <f>SUM(Q3:Q65)</f>
        <v>2115</v>
      </c>
      <c r="R67" s="60"/>
    </row>
    <row r="68" spans="1:18">
      <c r="A68" s="5"/>
      <c r="D68" s="5"/>
      <c r="E68" s="5"/>
      <c r="F68" s="5"/>
      <c r="G68" s="5"/>
      <c r="H68" s="5"/>
      <c r="I68" s="5"/>
      <c r="J68" s="5"/>
      <c r="L68" s="2"/>
      <c r="M68" s="2"/>
      <c r="N68" s="2"/>
      <c r="O68" s="2"/>
      <c r="R68" s="2"/>
    </row>
    <row r="69" spans="1:18">
      <c r="A69" s="5"/>
      <c r="D69" s="5"/>
      <c r="E69" s="5"/>
      <c r="F69" s="5"/>
      <c r="G69" s="5"/>
      <c r="H69" s="5"/>
      <c r="I69" s="5"/>
      <c r="J69" s="5"/>
      <c r="L69" s="2"/>
      <c r="M69" s="2"/>
      <c r="N69" s="2"/>
      <c r="O69" s="2"/>
      <c r="R69" s="2"/>
    </row>
    <row r="70" spans="1:18">
      <c r="A70" s="5"/>
      <c r="D70" s="5"/>
      <c r="E70" s="5"/>
      <c r="F70" s="5"/>
      <c r="G70" s="5"/>
      <c r="H70" s="5"/>
      <c r="I70" s="5"/>
      <c r="J70" s="5"/>
      <c r="L70" s="49"/>
      <c r="M70" s="49"/>
      <c r="O70" s="51"/>
      <c r="P70" s="52"/>
      <c r="Q70" s="52"/>
      <c r="R70" s="50"/>
    </row>
    <row r="71" spans="1:18">
      <c r="A71" s="5"/>
      <c r="D71" s="5"/>
      <c r="E71" s="5"/>
      <c r="F71" s="5"/>
      <c r="G71" s="5"/>
      <c r="H71" s="5"/>
      <c r="I71" s="5"/>
      <c r="J71" s="5"/>
      <c r="L71" s="49"/>
      <c r="M71" s="49"/>
      <c r="O71" s="51"/>
      <c r="P71" s="52"/>
      <c r="Q71" s="52"/>
      <c r="R71" s="50"/>
    </row>
    <row r="72" spans="1:18">
      <c r="A72" s="5"/>
      <c r="D72" s="5"/>
      <c r="E72" s="5"/>
      <c r="F72" s="5"/>
      <c r="G72" s="5"/>
      <c r="H72" s="5"/>
      <c r="I72" s="5"/>
      <c r="J72" s="5"/>
      <c r="L72" s="49"/>
      <c r="M72" s="49"/>
      <c r="O72" s="51"/>
      <c r="P72" s="52"/>
      <c r="Q72" s="52"/>
      <c r="R72" s="50"/>
    </row>
    <row r="73" spans="1:18">
      <c r="A73" s="5"/>
      <c r="D73" s="5"/>
      <c r="E73" s="5"/>
      <c r="F73" s="5"/>
      <c r="G73" s="5"/>
      <c r="H73" s="5"/>
      <c r="I73" s="5"/>
      <c r="J73" s="5"/>
      <c r="L73" s="49"/>
      <c r="M73" s="49"/>
      <c r="O73" s="51"/>
      <c r="P73" s="52"/>
      <c r="Q73" s="52"/>
      <c r="R73" s="50"/>
    </row>
    <row r="74" spans="1:18">
      <c r="A74" s="5"/>
      <c r="D74" s="5"/>
      <c r="E74" s="5"/>
      <c r="F74" s="5"/>
      <c r="G74" s="5"/>
      <c r="H74" s="5"/>
      <c r="I74" s="5"/>
      <c r="J74" s="5"/>
      <c r="L74" s="49"/>
      <c r="M74" s="49"/>
      <c r="O74" s="51"/>
      <c r="P74" s="52"/>
      <c r="Q74" s="52"/>
      <c r="R74" s="50"/>
    </row>
    <row r="75" spans="1:18">
      <c r="A75" s="5"/>
      <c r="D75" s="5"/>
      <c r="E75" s="5"/>
      <c r="F75" s="5"/>
      <c r="G75" s="5"/>
      <c r="H75" s="5"/>
      <c r="I75" s="5"/>
      <c r="J75" s="5"/>
      <c r="L75" s="49"/>
      <c r="M75" s="49"/>
      <c r="O75" s="51"/>
      <c r="P75" s="52"/>
      <c r="Q75" s="52"/>
      <c r="R75" s="50"/>
    </row>
    <row r="76" spans="1:18">
      <c r="A76" s="5"/>
      <c r="D76" s="5"/>
      <c r="E76" s="5"/>
      <c r="F76" s="5"/>
      <c r="G76" s="5"/>
      <c r="H76" s="5"/>
      <c r="I76" s="5"/>
      <c r="J76" s="5"/>
      <c r="L76" s="49"/>
      <c r="M76" s="49"/>
      <c r="O76" s="51"/>
      <c r="P76" s="52"/>
      <c r="Q76" s="52"/>
      <c r="R76" s="50"/>
    </row>
    <row r="77" spans="1:18">
      <c r="A77" s="5"/>
      <c r="D77" s="5"/>
      <c r="E77" s="5"/>
      <c r="F77" s="5"/>
      <c r="G77" s="5"/>
      <c r="H77" s="5"/>
      <c r="I77" s="5"/>
      <c r="J77" s="5"/>
      <c r="L77" s="49"/>
      <c r="M77" s="49"/>
      <c r="O77" s="51"/>
      <c r="P77" s="52"/>
      <c r="Q77" s="52"/>
      <c r="R77" s="50"/>
    </row>
    <row r="78" spans="1:18">
      <c r="A78" s="5"/>
      <c r="D78" s="5"/>
      <c r="E78" s="5"/>
      <c r="F78" s="5"/>
      <c r="G78" s="5"/>
      <c r="H78" s="5"/>
      <c r="I78" s="5"/>
      <c r="J78" s="5"/>
      <c r="L78" s="49"/>
      <c r="M78" s="49"/>
      <c r="O78" s="51"/>
      <c r="P78" s="52"/>
      <c r="Q78" s="52"/>
      <c r="R78" s="50"/>
    </row>
    <row r="79" spans="1:18">
      <c r="A79" s="5"/>
      <c r="D79" s="5"/>
      <c r="E79" s="5"/>
      <c r="F79" s="5"/>
      <c r="G79" s="5"/>
      <c r="H79" s="5"/>
      <c r="I79" s="5"/>
      <c r="J79" s="5"/>
      <c r="L79" s="49"/>
      <c r="M79" s="49"/>
      <c r="O79" s="51"/>
      <c r="P79" s="52"/>
      <c r="Q79" s="52"/>
      <c r="R79" s="50"/>
    </row>
    <row r="80" spans="1:18">
      <c r="A80" s="5"/>
      <c r="D80" s="5"/>
      <c r="E80" s="5"/>
      <c r="F80" s="5"/>
      <c r="G80" s="5"/>
      <c r="H80" s="5"/>
      <c r="I80" s="5"/>
      <c r="J80" s="5"/>
      <c r="L80" s="49"/>
      <c r="M80" s="49"/>
      <c r="O80" s="51"/>
      <c r="P80" s="52"/>
      <c r="Q80" s="52"/>
      <c r="R80" s="50"/>
    </row>
    <row r="81" spans="1:18">
      <c r="A81" s="5"/>
      <c r="D81" s="5"/>
      <c r="E81" s="5"/>
      <c r="F81" s="5"/>
      <c r="G81" s="5"/>
      <c r="H81" s="5"/>
      <c r="I81" s="5"/>
      <c r="J81" s="5"/>
      <c r="L81" s="49"/>
      <c r="M81" s="49"/>
      <c r="O81" s="51"/>
      <c r="P81" s="52"/>
      <c r="Q81" s="52"/>
      <c r="R81" s="50"/>
    </row>
    <row r="82" spans="1:18">
      <c r="A82" s="5"/>
      <c r="D82" s="5"/>
      <c r="E82" s="5"/>
      <c r="F82" s="5"/>
      <c r="G82" s="5"/>
      <c r="H82" s="5"/>
      <c r="I82" s="5"/>
      <c r="J82" s="5"/>
      <c r="L82" s="49"/>
      <c r="M82" s="49"/>
      <c r="O82" s="51"/>
      <c r="P82" s="52"/>
      <c r="Q82" s="52"/>
      <c r="R82" s="50"/>
    </row>
    <row r="83" spans="1:18">
      <c r="A83" s="5"/>
      <c r="D83" s="5"/>
      <c r="E83" s="5"/>
      <c r="F83" s="5"/>
      <c r="G83" s="5"/>
      <c r="H83" s="5"/>
      <c r="I83" s="5"/>
      <c r="J83" s="5"/>
      <c r="L83" s="49"/>
      <c r="M83" s="49"/>
      <c r="O83" s="51"/>
      <c r="P83" s="52"/>
      <c r="Q83" s="52"/>
      <c r="R83" s="50"/>
    </row>
    <row r="84" spans="1:18">
      <c r="A84" s="5"/>
      <c r="D84" s="5"/>
      <c r="E84" s="5"/>
      <c r="F84" s="5"/>
      <c r="G84" s="5"/>
      <c r="H84" s="5"/>
      <c r="I84" s="5"/>
      <c r="J84" s="5"/>
      <c r="L84" s="49"/>
      <c r="M84" s="49"/>
      <c r="O84" s="51"/>
      <c r="P84" s="52"/>
      <c r="Q84" s="52"/>
      <c r="R84" s="50"/>
    </row>
    <row r="85" spans="1:18">
      <c r="A85" s="5"/>
      <c r="D85" s="5"/>
      <c r="E85" s="5"/>
      <c r="F85" s="5"/>
      <c r="G85" s="5"/>
      <c r="H85" s="5"/>
      <c r="I85" s="5"/>
      <c r="J85" s="5"/>
      <c r="L85" s="49"/>
      <c r="M85" s="49"/>
      <c r="O85" s="51"/>
      <c r="P85" s="52"/>
      <c r="Q85" s="52"/>
      <c r="R85" s="50"/>
    </row>
    <row r="86" spans="1:18">
      <c r="A86" s="5"/>
      <c r="D86" s="5"/>
      <c r="E86" s="5"/>
      <c r="F86" s="5"/>
      <c r="G86" s="5"/>
      <c r="H86" s="5"/>
      <c r="I86" s="5"/>
      <c r="J86" s="5"/>
      <c r="L86" s="49"/>
      <c r="M86" s="49"/>
      <c r="O86" s="51"/>
      <c r="P86" s="52"/>
      <c r="Q86" s="52"/>
      <c r="R86" s="50"/>
    </row>
    <row r="87" spans="1:18">
      <c r="A87" s="5"/>
      <c r="D87" s="5"/>
      <c r="E87" s="5"/>
      <c r="F87" s="5"/>
      <c r="G87" s="5"/>
      <c r="H87" s="5"/>
      <c r="I87" s="5"/>
      <c r="J87" s="5"/>
      <c r="L87" s="49"/>
      <c r="M87" s="49"/>
      <c r="O87" s="51"/>
      <c r="P87" s="52"/>
      <c r="Q87" s="52"/>
      <c r="R87" s="50"/>
    </row>
    <row r="88" spans="1:18">
      <c r="A88" s="5"/>
      <c r="D88" s="5"/>
      <c r="E88" s="5"/>
      <c r="F88" s="5"/>
      <c r="G88" s="5"/>
      <c r="H88" s="5"/>
      <c r="I88" s="5"/>
      <c r="J88" s="5"/>
      <c r="L88" s="49"/>
      <c r="M88" s="49"/>
      <c r="O88" s="51"/>
      <c r="P88" s="52"/>
      <c r="Q88" s="52"/>
      <c r="R88" s="50"/>
    </row>
    <row r="89" spans="1:18">
      <c r="A89" s="5"/>
      <c r="D89" s="5"/>
      <c r="E89" s="5"/>
      <c r="F89" s="5"/>
      <c r="G89" s="5"/>
      <c r="H89" s="5"/>
      <c r="I89" s="5"/>
      <c r="J89" s="5"/>
      <c r="L89" s="49"/>
      <c r="M89" s="49"/>
      <c r="O89" s="51"/>
      <c r="P89" s="52"/>
      <c r="Q89" s="52"/>
      <c r="R89" s="50"/>
    </row>
    <row r="90" spans="1:18">
      <c r="A90" s="5"/>
      <c r="D90" s="5"/>
      <c r="E90" s="5"/>
      <c r="F90" s="5"/>
      <c r="G90" s="5"/>
      <c r="H90" s="5"/>
      <c r="I90" s="5"/>
      <c r="J90" s="5"/>
      <c r="L90" s="49"/>
      <c r="M90" s="49"/>
      <c r="O90" s="51"/>
      <c r="P90" s="52"/>
      <c r="Q90" s="52"/>
      <c r="R90" s="50"/>
    </row>
    <row r="91" spans="1:18">
      <c r="A91" s="5"/>
      <c r="D91" s="5"/>
      <c r="E91" s="5"/>
      <c r="F91" s="5"/>
      <c r="G91" s="5"/>
      <c r="H91" s="5"/>
      <c r="I91" s="5"/>
      <c r="J91" s="5"/>
      <c r="L91" s="49"/>
      <c r="M91" s="49"/>
      <c r="O91" s="51"/>
      <c r="P91" s="52"/>
      <c r="Q91" s="52"/>
      <c r="R91" s="50"/>
    </row>
    <row r="92" spans="1:18">
      <c r="A92" s="5"/>
      <c r="D92" s="5"/>
      <c r="E92" s="5"/>
      <c r="F92" s="5"/>
      <c r="G92" s="5"/>
      <c r="H92" s="5"/>
      <c r="I92" s="5"/>
      <c r="J92" s="5"/>
      <c r="L92" s="49"/>
      <c r="M92" s="49"/>
      <c r="O92" s="51"/>
      <c r="P92" s="52"/>
      <c r="Q92" s="52"/>
      <c r="R92" s="50"/>
    </row>
    <row r="93" spans="1:18">
      <c r="A93" s="5"/>
      <c r="D93" s="5"/>
      <c r="E93" s="5"/>
      <c r="F93" s="5"/>
      <c r="G93" s="5"/>
      <c r="H93" s="5"/>
      <c r="I93" s="5"/>
      <c r="J93" s="5"/>
      <c r="L93" s="49"/>
      <c r="M93" s="49"/>
      <c r="O93" s="51"/>
      <c r="P93" s="52"/>
      <c r="Q93" s="52"/>
      <c r="R93" s="50"/>
    </row>
    <row r="94" spans="1:18">
      <c r="A94" s="5"/>
      <c r="D94" s="5"/>
      <c r="E94" s="5"/>
      <c r="F94" s="5"/>
      <c r="G94" s="5"/>
      <c r="H94" s="5"/>
      <c r="I94" s="5"/>
      <c r="J94" s="5"/>
      <c r="L94" s="49"/>
      <c r="M94" s="49"/>
      <c r="O94" s="51"/>
      <c r="P94" s="52"/>
      <c r="Q94" s="52"/>
      <c r="R94" s="50"/>
    </row>
    <row r="95" spans="1:18">
      <c r="A95" s="5"/>
      <c r="D95" s="5"/>
      <c r="E95" s="5"/>
      <c r="F95" s="5"/>
      <c r="G95" s="5"/>
      <c r="H95" s="5"/>
      <c r="I95" s="5"/>
      <c r="J95" s="5"/>
      <c r="L95" s="49"/>
      <c r="M95" s="49"/>
      <c r="O95" s="51"/>
      <c r="P95" s="52"/>
      <c r="Q95" s="52"/>
      <c r="R95" s="50"/>
    </row>
    <row r="96" spans="1:18">
      <c r="A96" s="5"/>
      <c r="D96" s="5"/>
      <c r="E96" s="5"/>
      <c r="F96" s="5"/>
      <c r="G96" s="5"/>
      <c r="H96" s="5"/>
      <c r="I96" s="5"/>
      <c r="J96" s="5"/>
      <c r="L96" s="49"/>
      <c r="M96" s="49"/>
      <c r="O96" s="51"/>
      <c r="P96" s="52"/>
      <c r="Q96" s="52"/>
      <c r="R96" s="50"/>
    </row>
    <row r="97" spans="1:18">
      <c r="A97" s="5"/>
      <c r="D97" s="5"/>
      <c r="E97" s="5"/>
      <c r="F97" s="5"/>
      <c r="G97" s="5"/>
      <c r="H97" s="5"/>
      <c r="I97" s="5"/>
      <c r="J97" s="5"/>
      <c r="L97" s="49"/>
      <c r="M97" s="49"/>
      <c r="O97" s="51"/>
      <c r="P97" s="52"/>
      <c r="Q97" s="52"/>
      <c r="R97" s="50"/>
    </row>
    <row r="98" spans="1:18">
      <c r="A98" s="5"/>
      <c r="D98" s="5"/>
      <c r="E98" s="5"/>
      <c r="F98" s="5"/>
      <c r="G98" s="5"/>
      <c r="H98" s="5"/>
      <c r="I98" s="5"/>
      <c r="J98" s="5"/>
      <c r="L98" s="49"/>
      <c r="M98" s="49"/>
      <c r="O98" s="51"/>
      <c r="P98" s="52"/>
      <c r="Q98" s="52"/>
      <c r="R98" s="50"/>
    </row>
    <row r="99" spans="1:18">
      <c r="A99" s="5"/>
      <c r="D99" s="5"/>
      <c r="E99" s="5"/>
      <c r="F99" s="5"/>
      <c r="G99" s="5"/>
      <c r="H99" s="5"/>
      <c r="I99" s="5"/>
      <c r="J99" s="5"/>
      <c r="L99" s="49"/>
      <c r="M99" s="49"/>
      <c r="O99" s="51"/>
      <c r="P99" s="52"/>
      <c r="Q99" s="52"/>
      <c r="R99" s="50"/>
    </row>
    <row r="100" spans="1:18">
      <c r="A100" s="5"/>
      <c r="D100" s="5"/>
      <c r="E100" s="5"/>
      <c r="F100" s="5"/>
      <c r="G100" s="5"/>
      <c r="H100" s="5"/>
      <c r="I100" s="5"/>
      <c r="J100" s="5"/>
      <c r="L100" s="49"/>
      <c r="M100" s="49"/>
      <c r="O100" s="51"/>
      <c r="P100" s="52"/>
      <c r="Q100" s="52"/>
      <c r="R100" s="50"/>
    </row>
    <row r="101" spans="1:18">
      <c r="A101" s="5"/>
      <c r="D101" s="5"/>
      <c r="E101" s="5"/>
      <c r="F101" s="5"/>
      <c r="G101" s="5"/>
      <c r="H101" s="5"/>
      <c r="I101" s="5"/>
      <c r="J101" s="5"/>
      <c r="L101" s="49"/>
      <c r="M101" s="49"/>
      <c r="O101" s="51"/>
      <c r="P101" s="52"/>
      <c r="Q101" s="52"/>
      <c r="R101" s="50"/>
    </row>
    <row r="102" spans="1:18">
      <c r="A102" s="5"/>
      <c r="D102" s="5"/>
      <c r="E102" s="5"/>
      <c r="F102" s="5"/>
      <c r="G102" s="5"/>
      <c r="H102" s="5"/>
      <c r="I102" s="5"/>
      <c r="J102" s="5"/>
      <c r="L102" s="49"/>
      <c r="M102" s="49"/>
      <c r="O102" s="51"/>
      <c r="P102" s="52"/>
      <c r="Q102" s="52"/>
      <c r="R102" s="50"/>
    </row>
    <row r="103" spans="1:18">
      <c r="A103" s="5"/>
      <c r="D103" s="5"/>
      <c r="E103" s="5"/>
      <c r="F103" s="5"/>
      <c r="G103" s="5"/>
      <c r="H103" s="5"/>
      <c r="I103" s="5"/>
      <c r="J103" s="5"/>
      <c r="L103" s="49"/>
      <c r="M103" s="49"/>
      <c r="O103" s="51"/>
      <c r="P103" s="52"/>
      <c r="Q103" s="52"/>
      <c r="R103" s="50"/>
    </row>
    <row r="104" spans="1:18">
      <c r="A104" s="5"/>
      <c r="D104" s="5"/>
      <c r="E104" s="5"/>
      <c r="F104" s="5"/>
      <c r="G104" s="5"/>
      <c r="H104" s="5"/>
      <c r="I104" s="5"/>
      <c r="J104" s="5"/>
      <c r="L104" s="49"/>
      <c r="M104" s="49"/>
      <c r="O104" s="51"/>
      <c r="P104" s="52"/>
      <c r="Q104" s="52"/>
      <c r="R104" s="50"/>
    </row>
    <row r="105" spans="1:18">
      <c r="A105" s="5"/>
      <c r="D105" s="5"/>
      <c r="E105" s="5"/>
      <c r="F105" s="5"/>
      <c r="G105" s="5"/>
      <c r="H105" s="5"/>
      <c r="I105" s="5"/>
      <c r="J105" s="5"/>
      <c r="L105" s="49"/>
      <c r="M105" s="49"/>
      <c r="O105" s="51"/>
      <c r="P105" s="52"/>
      <c r="Q105" s="52"/>
      <c r="R105" s="50"/>
    </row>
    <row r="106" spans="1:18">
      <c r="A106" s="5"/>
      <c r="D106" s="5"/>
      <c r="E106" s="5"/>
      <c r="F106" s="5"/>
      <c r="G106" s="5"/>
      <c r="H106" s="5"/>
      <c r="I106" s="5"/>
      <c r="J106" s="5"/>
      <c r="L106" s="49"/>
      <c r="M106" s="49"/>
      <c r="O106" s="51"/>
      <c r="P106" s="52"/>
      <c r="Q106" s="52"/>
      <c r="R106" s="50"/>
    </row>
    <row r="107" spans="1:18">
      <c r="A107" s="5"/>
      <c r="D107" s="5"/>
      <c r="E107" s="5"/>
      <c r="F107" s="5"/>
      <c r="G107" s="5"/>
      <c r="H107" s="5"/>
      <c r="I107" s="5"/>
      <c r="J107" s="5"/>
      <c r="L107" s="49"/>
      <c r="M107" s="49"/>
      <c r="O107" s="51"/>
      <c r="P107" s="52"/>
      <c r="Q107" s="52"/>
      <c r="R107" s="50"/>
    </row>
    <row r="108" spans="1:18">
      <c r="A108" s="5"/>
      <c r="D108" s="5"/>
      <c r="E108" s="5"/>
      <c r="F108" s="5"/>
      <c r="G108" s="5"/>
      <c r="H108" s="5"/>
      <c r="I108" s="5"/>
      <c r="J108" s="5"/>
      <c r="L108" s="49"/>
      <c r="M108" s="49"/>
      <c r="O108" s="51"/>
      <c r="P108" s="52"/>
      <c r="Q108" s="52"/>
      <c r="R108" s="50"/>
    </row>
    <row r="109" spans="1:18">
      <c r="A109" s="5"/>
      <c r="D109" s="5"/>
      <c r="E109" s="5"/>
      <c r="F109" s="5"/>
      <c r="G109" s="5"/>
      <c r="H109" s="5"/>
      <c r="I109" s="5"/>
      <c r="J109" s="5"/>
      <c r="L109" s="49"/>
      <c r="M109" s="49"/>
      <c r="O109" s="51"/>
      <c r="P109" s="52"/>
      <c r="Q109" s="52"/>
      <c r="R109" s="50"/>
    </row>
    <row r="110" spans="1:18">
      <c r="A110" s="5"/>
      <c r="D110" s="5"/>
      <c r="E110" s="5"/>
      <c r="F110" s="5"/>
      <c r="G110" s="5"/>
      <c r="H110" s="5"/>
      <c r="I110" s="5"/>
      <c r="J110" s="5"/>
      <c r="L110" s="49"/>
      <c r="M110" s="49"/>
      <c r="O110" s="51"/>
      <c r="P110" s="52"/>
      <c r="Q110" s="52"/>
      <c r="R110" s="50"/>
    </row>
    <row r="111" spans="1:18">
      <c r="A111" s="5"/>
      <c r="D111" s="5"/>
      <c r="E111" s="5"/>
      <c r="F111" s="5"/>
      <c r="G111" s="5"/>
      <c r="H111" s="5"/>
      <c r="I111" s="5"/>
      <c r="J111" s="5"/>
      <c r="L111" s="49"/>
      <c r="M111" s="49"/>
      <c r="O111" s="51"/>
      <c r="P111" s="52"/>
      <c r="Q111" s="52"/>
      <c r="R111" s="50"/>
    </row>
    <row r="112" spans="1:18">
      <c r="A112" s="5"/>
      <c r="D112" s="5"/>
      <c r="E112" s="5"/>
      <c r="F112" s="5"/>
      <c r="G112" s="5"/>
      <c r="H112" s="5"/>
      <c r="I112" s="5"/>
      <c r="J112" s="5"/>
      <c r="L112" s="49"/>
      <c r="M112" s="49"/>
      <c r="O112" s="51"/>
      <c r="P112" s="52"/>
      <c r="Q112" s="52"/>
      <c r="R112" s="50"/>
    </row>
    <row r="113" spans="1:18">
      <c r="A113" s="5"/>
      <c r="D113" s="5"/>
      <c r="E113" s="5"/>
      <c r="F113" s="5"/>
      <c r="G113" s="5"/>
      <c r="H113" s="5"/>
      <c r="I113" s="5"/>
      <c r="J113" s="5"/>
      <c r="L113" s="49"/>
      <c r="M113" s="49"/>
      <c r="O113" s="51"/>
      <c r="P113" s="52"/>
      <c r="Q113" s="52"/>
      <c r="R113" s="50"/>
    </row>
    <row r="114" spans="1:18">
      <c r="A114" s="5"/>
      <c r="D114" s="5"/>
      <c r="E114" s="5"/>
      <c r="F114" s="5"/>
      <c r="G114" s="5"/>
      <c r="H114" s="5"/>
      <c r="I114" s="5"/>
      <c r="J114" s="5"/>
      <c r="L114" s="49"/>
      <c r="M114" s="49"/>
      <c r="O114" s="51"/>
      <c r="P114" s="52"/>
      <c r="Q114" s="52"/>
      <c r="R114" s="50"/>
    </row>
    <row r="115" spans="1:18">
      <c r="A115" s="5"/>
      <c r="D115" s="5"/>
      <c r="E115" s="5"/>
      <c r="F115" s="5"/>
      <c r="G115" s="5"/>
      <c r="H115" s="5"/>
      <c r="I115" s="5"/>
      <c r="J115" s="5"/>
      <c r="L115" s="49"/>
      <c r="M115" s="49"/>
      <c r="O115" s="51"/>
      <c r="P115" s="52"/>
      <c r="Q115" s="52"/>
      <c r="R115" s="50"/>
    </row>
    <row r="116" spans="1:18">
      <c r="A116" s="5"/>
      <c r="D116" s="5"/>
      <c r="E116" s="5"/>
      <c r="F116" s="5"/>
      <c r="G116" s="5"/>
      <c r="H116" s="5"/>
      <c r="I116" s="5"/>
      <c r="J116" s="5"/>
      <c r="L116" s="49"/>
      <c r="M116" s="49"/>
      <c r="O116" s="51"/>
      <c r="P116" s="52"/>
      <c r="Q116" s="52"/>
      <c r="R116" s="50"/>
    </row>
    <row r="117" spans="1:18">
      <c r="A117" s="5"/>
      <c r="D117" s="5"/>
      <c r="E117" s="5"/>
      <c r="F117" s="5"/>
      <c r="G117" s="5"/>
      <c r="H117" s="5"/>
      <c r="I117" s="5"/>
      <c r="J117" s="5"/>
      <c r="L117" s="49"/>
      <c r="M117" s="49"/>
      <c r="O117" s="51"/>
      <c r="P117" s="52"/>
      <c r="Q117" s="52"/>
      <c r="R117" s="50"/>
    </row>
    <row r="118" spans="1:18">
      <c r="A118" s="5"/>
      <c r="D118" s="5"/>
      <c r="E118" s="5"/>
      <c r="F118" s="5"/>
      <c r="G118" s="5"/>
      <c r="H118" s="5"/>
      <c r="I118" s="5"/>
      <c r="J118" s="5"/>
      <c r="L118" s="49"/>
      <c r="M118" s="49"/>
      <c r="O118" s="51"/>
      <c r="P118" s="52"/>
      <c r="Q118" s="52"/>
      <c r="R118" s="50"/>
    </row>
    <row r="119" spans="1:18">
      <c r="A119" s="5"/>
      <c r="D119" s="5"/>
      <c r="E119" s="5"/>
      <c r="F119" s="5"/>
      <c r="G119" s="5"/>
      <c r="H119" s="5"/>
      <c r="I119" s="5"/>
      <c r="J119" s="5"/>
      <c r="L119" s="49"/>
      <c r="M119" s="49"/>
      <c r="O119" s="51"/>
      <c r="P119" s="52"/>
      <c r="Q119" s="52"/>
      <c r="R119" s="50"/>
    </row>
    <row r="120" spans="1:18">
      <c r="A120" s="5"/>
      <c r="D120" s="5"/>
      <c r="E120" s="5"/>
      <c r="F120" s="5"/>
      <c r="G120" s="5"/>
      <c r="H120" s="5"/>
      <c r="I120" s="5"/>
      <c r="J120" s="5"/>
      <c r="L120" s="49"/>
      <c r="M120" s="49"/>
      <c r="O120" s="51"/>
      <c r="P120" s="52"/>
      <c r="Q120" s="52"/>
      <c r="R120" s="50"/>
    </row>
    <row r="121" spans="1:18">
      <c r="A121" s="5"/>
      <c r="D121" s="5"/>
      <c r="E121" s="5"/>
      <c r="F121" s="5"/>
      <c r="G121" s="5"/>
      <c r="H121" s="5"/>
      <c r="I121" s="5"/>
      <c r="J121" s="5"/>
      <c r="L121" s="49"/>
      <c r="M121" s="49"/>
      <c r="O121" s="51"/>
      <c r="P121" s="52"/>
      <c r="Q121" s="52"/>
      <c r="R121" s="50"/>
    </row>
    <row r="122" spans="1:18">
      <c r="A122" s="5"/>
      <c r="D122" s="5"/>
      <c r="E122" s="5"/>
      <c r="F122" s="5"/>
      <c r="G122" s="5"/>
      <c r="H122" s="5"/>
      <c r="I122" s="5"/>
      <c r="J122" s="5"/>
      <c r="L122" s="49"/>
      <c r="M122" s="49"/>
      <c r="O122" s="51"/>
      <c r="P122" s="52"/>
      <c r="Q122" s="52"/>
      <c r="R122" s="50"/>
    </row>
    <row r="123" spans="1:18">
      <c r="A123" s="5"/>
      <c r="D123" s="5"/>
      <c r="E123" s="5"/>
      <c r="F123" s="5"/>
      <c r="G123" s="5"/>
      <c r="H123" s="5"/>
      <c r="I123" s="5"/>
      <c r="J123" s="5"/>
    </row>
    <row r="124" spans="1:18">
      <c r="A124" s="5"/>
      <c r="D124" s="5"/>
      <c r="E124" s="5"/>
      <c r="F124" s="5"/>
      <c r="G124" s="5"/>
      <c r="H124" s="5"/>
      <c r="I124" s="5"/>
      <c r="J124" s="5"/>
    </row>
    <row r="125" spans="1:18">
      <c r="A125" s="5"/>
      <c r="D125" s="5"/>
      <c r="E125" s="5"/>
      <c r="F125" s="5"/>
      <c r="G125" s="5"/>
      <c r="H125" s="5"/>
      <c r="I125" s="5"/>
      <c r="J125" s="5"/>
    </row>
    <row r="126" spans="1:18">
      <c r="A126" s="5"/>
      <c r="D126" s="5"/>
      <c r="E126" s="5"/>
      <c r="F126" s="5"/>
      <c r="G126" s="5"/>
      <c r="H126" s="5"/>
      <c r="I126" s="5"/>
      <c r="J126" s="5"/>
    </row>
    <row r="127" spans="1:18">
      <c r="A127" s="5"/>
      <c r="D127" s="5"/>
      <c r="E127" s="5"/>
      <c r="F127" s="5"/>
      <c r="G127" s="5"/>
      <c r="H127" s="5"/>
      <c r="I127" s="5"/>
      <c r="J127" s="5"/>
    </row>
    <row r="128" spans="1:18">
      <c r="A128" s="5"/>
      <c r="D128" s="5"/>
      <c r="E128" s="5"/>
      <c r="F128" s="5"/>
      <c r="G128" s="5"/>
      <c r="H128" s="5"/>
      <c r="I128" s="5"/>
      <c r="J128" s="5"/>
    </row>
    <row r="129" spans="1:10">
      <c r="A129" s="5"/>
      <c r="D129" s="5"/>
      <c r="E129" s="5"/>
      <c r="F129" s="5"/>
      <c r="G129" s="5"/>
      <c r="H129" s="5"/>
      <c r="I129" s="5"/>
      <c r="J129" s="5"/>
    </row>
    <row r="130" spans="1:10">
      <c r="A130" s="5"/>
      <c r="D130" s="5"/>
      <c r="E130" s="5"/>
      <c r="F130" s="5"/>
      <c r="G130" s="5"/>
      <c r="H130" s="5"/>
      <c r="I130" s="5"/>
      <c r="J130" s="5"/>
    </row>
    <row r="131" spans="1:10">
      <c r="A131" s="5"/>
      <c r="D131" s="5"/>
      <c r="E131" s="5"/>
      <c r="F131" s="5"/>
      <c r="G131" s="5"/>
      <c r="H131" s="5"/>
      <c r="I131" s="5"/>
      <c r="J131" s="5"/>
    </row>
    <row r="132" spans="1:10">
      <c r="A132" s="5"/>
      <c r="D132" s="5"/>
      <c r="E132" s="5"/>
      <c r="F132" s="5"/>
      <c r="G132" s="5"/>
      <c r="H132" s="5"/>
      <c r="I132" s="5"/>
      <c r="J132" s="5"/>
    </row>
    <row r="133" spans="1:10">
      <c r="A133" s="5"/>
      <c r="D133" s="5"/>
      <c r="E133" s="5"/>
      <c r="F133" s="5"/>
      <c r="G133" s="5"/>
      <c r="H133" s="5"/>
      <c r="I133" s="5"/>
      <c r="J133" s="5"/>
    </row>
    <row r="134" spans="1:10">
      <c r="A134" s="5"/>
      <c r="D134" s="5"/>
      <c r="E134" s="5"/>
      <c r="F134" s="5"/>
      <c r="G134" s="5"/>
      <c r="H134" s="5"/>
      <c r="I134" s="5"/>
      <c r="J134" s="5"/>
    </row>
    <row r="135" spans="1:10">
      <c r="A135" s="5"/>
      <c r="D135" s="5"/>
      <c r="E135" s="5"/>
      <c r="F135" s="5"/>
      <c r="G135" s="5"/>
      <c r="H135" s="5"/>
      <c r="I135" s="5"/>
      <c r="J135" s="5"/>
    </row>
    <row r="136" spans="1:10">
      <c r="A136" s="5"/>
      <c r="D136" s="5"/>
      <c r="E136" s="5"/>
      <c r="F136" s="5"/>
      <c r="G136" s="5"/>
      <c r="H136" s="5"/>
      <c r="I136" s="5"/>
      <c r="J136" s="5"/>
    </row>
    <row r="137" spans="1:10">
      <c r="A137" s="5"/>
      <c r="D137" s="5"/>
      <c r="E137" s="5"/>
      <c r="F137" s="5"/>
      <c r="G137" s="5"/>
      <c r="H137" s="5"/>
      <c r="I137" s="5"/>
      <c r="J137" s="5"/>
    </row>
    <row r="138" spans="1:10">
      <c r="A138" s="5"/>
      <c r="D138" s="5"/>
      <c r="E138" s="5"/>
      <c r="F138" s="5"/>
      <c r="G138" s="5"/>
      <c r="H138" s="5"/>
      <c r="I138" s="5"/>
      <c r="J138" s="5"/>
    </row>
    <row r="139" spans="1:10">
      <c r="A139" s="5"/>
      <c r="D139" s="5"/>
      <c r="E139" s="5"/>
      <c r="F139" s="5"/>
      <c r="G139" s="5"/>
      <c r="H139" s="5"/>
      <c r="I139" s="5"/>
      <c r="J139" s="5"/>
    </row>
    <row r="140" spans="1:10">
      <c r="A140" s="5"/>
      <c r="D140" s="5"/>
      <c r="E140" s="5"/>
      <c r="F140" s="5"/>
      <c r="G140" s="5"/>
      <c r="H140" s="5"/>
      <c r="I140" s="5"/>
      <c r="J140" s="5"/>
    </row>
    <row r="141" spans="1:10">
      <c r="A141" s="5"/>
      <c r="D141" s="5"/>
      <c r="E141" s="5"/>
      <c r="F141" s="5"/>
      <c r="G141" s="5"/>
      <c r="H141" s="5"/>
      <c r="I141" s="5"/>
      <c r="J141" s="5"/>
    </row>
    <row r="142" spans="1:10">
      <c r="A142" s="5"/>
      <c r="D142" s="5"/>
      <c r="E142" s="5"/>
      <c r="F142" s="5"/>
      <c r="G142" s="5"/>
      <c r="H142" s="5"/>
      <c r="I142" s="5"/>
      <c r="J142" s="5"/>
    </row>
    <row r="143" spans="1:10">
      <c r="A143" s="5"/>
      <c r="D143" s="5"/>
      <c r="E143" s="5"/>
      <c r="F143" s="5"/>
      <c r="G143" s="5"/>
      <c r="H143" s="5"/>
      <c r="I143" s="5"/>
      <c r="J143" s="5"/>
    </row>
    <row r="144" spans="1:10">
      <c r="A144" s="5"/>
      <c r="D144" s="5"/>
      <c r="E144" s="5"/>
      <c r="F144" s="5"/>
      <c r="G144" s="5"/>
      <c r="H144" s="5"/>
      <c r="I144" s="5"/>
      <c r="J144" s="5"/>
    </row>
    <row r="145" spans="1:10">
      <c r="A145" s="5"/>
      <c r="D145" s="5"/>
      <c r="E145" s="5"/>
      <c r="F145" s="5"/>
      <c r="G145" s="5"/>
      <c r="H145" s="5"/>
      <c r="I145" s="5"/>
      <c r="J145" s="5"/>
    </row>
    <row r="146" spans="1:10">
      <c r="A146" s="5"/>
      <c r="D146" s="5"/>
      <c r="E146" s="5"/>
      <c r="F146" s="5"/>
      <c r="G146" s="5"/>
      <c r="H146" s="5"/>
      <c r="I146" s="5"/>
      <c r="J146" s="5"/>
    </row>
    <row r="147" spans="1:10">
      <c r="A147" s="5"/>
      <c r="D147" s="5"/>
      <c r="E147" s="5"/>
      <c r="F147" s="5"/>
      <c r="G147" s="5"/>
      <c r="H147" s="5"/>
      <c r="I147" s="5"/>
      <c r="J147" s="5"/>
    </row>
    <row r="148" spans="1:10">
      <c r="A148" s="5"/>
      <c r="D148" s="5"/>
      <c r="E148" s="5"/>
      <c r="F148" s="5"/>
      <c r="G148" s="5"/>
      <c r="H148" s="5"/>
      <c r="I148" s="5"/>
      <c r="J148" s="5"/>
    </row>
    <row r="149" spans="1:10">
      <c r="A149" s="5"/>
      <c r="D149" s="5"/>
      <c r="E149" s="5"/>
      <c r="F149" s="5"/>
      <c r="G149" s="5"/>
      <c r="H149" s="5"/>
      <c r="I149" s="5"/>
      <c r="J149" s="5"/>
    </row>
    <row r="150" spans="1:10">
      <c r="A150" s="5"/>
      <c r="D150" s="5"/>
      <c r="E150" s="5"/>
      <c r="F150" s="5"/>
      <c r="G150" s="5"/>
      <c r="H150" s="5"/>
      <c r="I150" s="5"/>
      <c r="J150" s="5"/>
    </row>
    <row r="151" spans="1:10">
      <c r="A151" s="5"/>
      <c r="D151" s="5"/>
      <c r="E151" s="5"/>
      <c r="F151" s="5"/>
      <c r="G151" s="5"/>
      <c r="H151" s="5"/>
      <c r="I151" s="5"/>
      <c r="J151" s="5"/>
    </row>
    <row r="152" spans="1:10">
      <c r="A152" s="5"/>
      <c r="D152" s="5"/>
      <c r="E152" s="5"/>
      <c r="F152" s="5"/>
      <c r="G152" s="5"/>
      <c r="H152" s="5"/>
      <c r="I152" s="5"/>
      <c r="J152" s="5"/>
    </row>
    <row r="153" spans="1:10">
      <c r="A153" s="5"/>
      <c r="D153" s="5"/>
      <c r="E153" s="5"/>
      <c r="F153" s="5"/>
      <c r="G153" s="5"/>
      <c r="H153" s="5"/>
      <c r="I153" s="5"/>
      <c r="J153" s="5"/>
    </row>
    <row r="154" spans="1:10">
      <c r="A154" s="5"/>
      <c r="D154" s="5"/>
      <c r="E154" s="5"/>
      <c r="F154" s="5"/>
      <c r="G154" s="5"/>
      <c r="H154" s="5"/>
      <c r="I154" s="5"/>
      <c r="J154" s="5"/>
    </row>
    <row r="155" spans="1:10">
      <c r="A155" s="5"/>
      <c r="D155" s="5"/>
      <c r="E155" s="5"/>
      <c r="F155" s="5"/>
      <c r="G155" s="5"/>
      <c r="H155" s="5"/>
      <c r="I155" s="5"/>
      <c r="J155" s="5"/>
    </row>
    <row r="156" spans="1:10">
      <c r="A156" s="5"/>
      <c r="D156" s="5"/>
      <c r="E156" s="5"/>
      <c r="F156" s="5"/>
      <c r="G156" s="5"/>
      <c r="H156" s="5"/>
      <c r="I156" s="5"/>
      <c r="J156" s="5"/>
    </row>
    <row r="157" spans="1:10">
      <c r="A157" s="5"/>
      <c r="D157" s="5"/>
      <c r="E157" s="5"/>
      <c r="F157" s="5"/>
      <c r="G157" s="5"/>
      <c r="H157" s="5"/>
      <c r="I157" s="5"/>
      <c r="J157" s="5"/>
    </row>
    <row r="158" spans="1:10">
      <c r="A158" s="5"/>
      <c r="D158" s="5"/>
      <c r="E158" s="5"/>
      <c r="F158" s="5"/>
      <c r="G158" s="5"/>
      <c r="H158" s="5"/>
      <c r="I158" s="5"/>
      <c r="J158" s="5"/>
    </row>
    <row r="159" spans="1:10">
      <c r="A159" s="5"/>
      <c r="D159" s="5"/>
      <c r="E159" s="5"/>
      <c r="F159" s="5"/>
      <c r="G159" s="5"/>
      <c r="H159" s="5"/>
      <c r="I159" s="5"/>
      <c r="J159" s="5"/>
    </row>
  </sheetData>
  <mergeCells count="2">
    <mergeCell ref="A1:J1"/>
    <mergeCell ref="A2:J2"/>
  </mergeCells>
  <conditionalFormatting sqref="B1:B3 B160:B1048576">
    <cfRule type="cellIs" dxfId="3" priority="2" operator="equal">
      <formula>"Sat"</formula>
    </cfRule>
  </conditionalFormatting>
  <conditionalFormatting sqref="B4:B24">
    <cfRule type="containsText" dxfId="2" priority="1" operator="containsText" text="Sun">
      <formula>NOT(ISERROR(SEARCH("Sun",B4)))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63F9-5B44-4CE5-A990-AD87781EFE89}">
  <dimension ref="A1:R19"/>
  <sheetViews>
    <sheetView workbookViewId="0">
      <selection activeCell="I26" sqref="I26"/>
    </sheetView>
  </sheetViews>
  <sheetFormatPr defaultRowHeight="15"/>
  <cols>
    <col min="1" max="1" width="9.85546875" bestFit="1" customWidth="1"/>
    <col min="2" max="2" width="5.28515625" bestFit="1" customWidth="1"/>
    <col min="3" max="3" width="17.85546875" style="92" bestFit="1" customWidth="1"/>
    <col min="4" max="4" width="10.7109375" bestFit="1" customWidth="1"/>
    <col min="5" max="10" width="10.85546875" bestFit="1" customWidth="1"/>
    <col min="11" max="11" width="1.42578125" bestFit="1" customWidth="1"/>
    <col min="12" max="12" width="8" bestFit="1" customWidth="1"/>
    <col min="13" max="13" width="3.42578125" bestFit="1" customWidth="1"/>
    <col min="14" max="14" width="41" bestFit="1" customWidth="1"/>
    <col min="15" max="15" width="5.85546875" bestFit="1" customWidth="1"/>
    <col min="16" max="16" width="7.42578125" bestFit="1" customWidth="1"/>
    <col min="17" max="17" width="4" bestFit="1" customWidth="1"/>
    <col min="18" max="18" width="20.85546875" bestFit="1" customWidth="1"/>
  </cols>
  <sheetData>
    <row r="1" spans="1:18" ht="21">
      <c r="A1" s="94" t="s">
        <v>15</v>
      </c>
      <c r="B1" s="94"/>
      <c r="C1" s="94"/>
      <c r="D1" s="94"/>
      <c r="E1" s="94"/>
      <c r="F1" s="94"/>
      <c r="G1" s="94"/>
      <c r="H1" s="94"/>
      <c r="I1" s="94"/>
      <c r="J1" s="94"/>
      <c r="K1" s="5" t="s">
        <v>188</v>
      </c>
      <c r="L1" s="49" t="s">
        <v>188</v>
      </c>
      <c r="M1" s="49" t="s">
        <v>188</v>
      </c>
      <c r="N1" s="50" t="s">
        <v>188</v>
      </c>
      <c r="O1" s="51" t="s">
        <v>188</v>
      </c>
      <c r="P1" s="51" t="s">
        <v>188</v>
      </c>
      <c r="Q1" s="51"/>
      <c r="R1" s="50"/>
    </row>
    <row r="2" spans="1:18" ht="18.75">
      <c r="A2" s="95" t="s">
        <v>214</v>
      </c>
      <c r="B2" s="95"/>
      <c r="C2" s="95"/>
      <c r="D2" s="95"/>
      <c r="E2" s="95"/>
      <c r="F2" s="95"/>
      <c r="G2" s="95"/>
      <c r="H2" s="95"/>
      <c r="I2" s="95"/>
      <c r="J2" s="95"/>
      <c r="K2" s="5"/>
      <c r="L2" s="53"/>
      <c r="M2" s="53"/>
      <c r="N2" s="53"/>
      <c r="O2" s="77"/>
      <c r="P2" s="77"/>
      <c r="Q2" s="77"/>
      <c r="R2" s="53"/>
    </row>
    <row r="3" spans="1:18">
      <c r="A3" s="4" t="s">
        <v>0</v>
      </c>
      <c r="B3" s="4" t="s">
        <v>1</v>
      </c>
      <c r="C3" s="4" t="s">
        <v>18</v>
      </c>
      <c r="D3" s="4" t="s">
        <v>2</v>
      </c>
      <c r="E3" s="4" t="s">
        <v>3</v>
      </c>
      <c r="F3" s="4" t="s">
        <v>4</v>
      </c>
      <c r="G3" s="6" t="s">
        <v>5</v>
      </c>
      <c r="H3" s="4" t="s">
        <v>6</v>
      </c>
      <c r="I3" s="4" t="s">
        <v>7</v>
      </c>
      <c r="J3" s="4" t="s">
        <v>8</v>
      </c>
      <c r="K3" s="1"/>
      <c r="L3" s="33" t="s">
        <v>9</v>
      </c>
      <c r="M3" s="33"/>
      <c r="N3" s="54" t="s">
        <v>10</v>
      </c>
      <c r="O3" s="54" t="s">
        <v>11</v>
      </c>
      <c r="P3" s="54" t="s">
        <v>12</v>
      </c>
      <c r="Q3" s="54" t="s">
        <v>13</v>
      </c>
      <c r="R3" s="54" t="s">
        <v>14</v>
      </c>
    </row>
    <row r="4" spans="1:18">
      <c r="A4" s="24">
        <v>46244</v>
      </c>
      <c r="B4" s="4" t="s">
        <v>19</v>
      </c>
      <c r="C4" s="4">
        <v>1</v>
      </c>
      <c r="D4" s="16"/>
      <c r="E4" s="16"/>
      <c r="F4" s="19"/>
      <c r="G4" s="18"/>
      <c r="H4" s="15"/>
      <c r="I4" s="16"/>
      <c r="J4" s="16"/>
      <c r="K4" s="5"/>
      <c r="L4" s="85" t="s">
        <v>126</v>
      </c>
      <c r="M4" s="19" t="s">
        <v>57</v>
      </c>
      <c r="N4" s="47" t="s">
        <v>39</v>
      </c>
      <c r="O4" s="46">
        <v>3</v>
      </c>
      <c r="P4" s="55">
        <f t="shared" ref="P4:P16" si="0">Q4/1.25</f>
        <v>36</v>
      </c>
      <c r="Q4" s="55">
        <f t="shared" ref="Q4:Q16" si="1">O4*15</f>
        <v>45</v>
      </c>
      <c r="R4" s="37" t="s">
        <v>59</v>
      </c>
    </row>
    <row r="5" spans="1:18">
      <c r="A5" s="24">
        <v>46245</v>
      </c>
      <c r="B5" s="4" t="s">
        <v>20</v>
      </c>
      <c r="C5" s="4">
        <f>C4+1</f>
        <v>2</v>
      </c>
      <c r="D5" s="16"/>
      <c r="E5" s="16"/>
      <c r="F5" s="16"/>
      <c r="G5" s="18"/>
      <c r="H5" s="16"/>
      <c r="I5" s="16"/>
      <c r="J5" s="16"/>
      <c r="K5" s="5"/>
      <c r="L5" s="85" t="s">
        <v>116</v>
      </c>
      <c r="M5" s="19" t="s">
        <v>57</v>
      </c>
      <c r="N5" s="47" t="s">
        <v>40</v>
      </c>
      <c r="O5" s="46">
        <v>3</v>
      </c>
      <c r="P5" s="55">
        <f t="shared" si="0"/>
        <v>36</v>
      </c>
      <c r="Q5" s="55">
        <f t="shared" si="1"/>
        <v>45</v>
      </c>
      <c r="R5" s="37" t="s">
        <v>60</v>
      </c>
    </row>
    <row r="6" spans="1:18">
      <c r="A6" s="24">
        <v>46246</v>
      </c>
      <c r="B6" s="4" t="s">
        <v>21</v>
      </c>
      <c r="C6" s="4">
        <f t="shared" ref="C6:C8" si="2">C5+1</f>
        <v>3</v>
      </c>
      <c r="D6" s="86" t="s">
        <v>126</v>
      </c>
      <c r="E6" s="19" t="s">
        <v>103</v>
      </c>
      <c r="F6" s="17" t="s">
        <v>103</v>
      </c>
      <c r="G6" s="18"/>
      <c r="H6" s="16" t="s">
        <v>110</v>
      </c>
      <c r="I6" s="16" t="s">
        <v>110</v>
      </c>
      <c r="J6" s="87" t="s">
        <v>118</v>
      </c>
      <c r="K6" s="5"/>
      <c r="L6" s="19" t="s">
        <v>106</v>
      </c>
      <c r="M6" s="19" t="s">
        <v>57</v>
      </c>
      <c r="N6" s="47" t="s">
        <v>46</v>
      </c>
      <c r="O6" s="46">
        <v>3</v>
      </c>
      <c r="P6" s="55">
        <f t="shared" si="0"/>
        <v>36</v>
      </c>
      <c r="Q6" s="55">
        <f t="shared" si="1"/>
        <v>45</v>
      </c>
      <c r="R6" s="37" t="s">
        <v>61</v>
      </c>
    </row>
    <row r="7" spans="1:18">
      <c r="A7" s="24">
        <v>46247</v>
      </c>
      <c r="B7" s="4" t="s">
        <v>22</v>
      </c>
      <c r="C7" s="4">
        <f t="shared" si="2"/>
        <v>4</v>
      </c>
      <c r="D7" s="88" t="s">
        <v>116</v>
      </c>
      <c r="E7" s="17" t="s">
        <v>108</v>
      </c>
      <c r="F7" s="16" t="s">
        <v>108</v>
      </c>
      <c r="G7" s="18"/>
      <c r="H7" s="19" t="s">
        <v>113</v>
      </c>
      <c r="I7" s="16" t="s">
        <v>115</v>
      </c>
      <c r="J7" s="16" t="s">
        <v>115</v>
      </c>
      <c r="K7" s="5"/>
      <c r="L7" s="19" t="s">
        <v>107</v>
      </c>
      <c r="M7" s="19" t="s">
        <v>57</v>
      </c>
      <c r="N7" s="47" t="s">
        <v>47</v>
      </c>
      <c r="O7" s="46">
        <v>3</v>
      </c>
      <c r="P7" s="55">
        <f t="shared" si="0"/>
        <v>36</v>
      </c>
      <c r="Q7" s="55">
        <f t="shared" si="1"/>
        <v>45</v>
      </c>
      <c r="R7" s="37" t="s">
        <v>61</v>
      </c>
    </row>
    <row r="8" spans="1:18">
      <c r="A8" s="24">
        <v>46248</v>
      </c>
      <c r="B8" s="4" t="s">
        <v>23</v>
      </c>
      <c r="C8" s="4">
        <f t="shared" si="2"/>
        <v>5</v>
      </c>
      <c r="D8" s="19" t="s">
        <v>106</v>
      </c>
      <c r="E8" s="17" t="s">
        <v>106</v>
      </c>
      <c r="F8" s="16" t="s">
        <v>107</v>
      </c>
      <c r="G8" s="18"/>
      <c r="H8" s="16" t="s">
        <v>107</v>
      </c>
      <c r="I8" s="16" t="s">
        <v>113</v>
      </c>
      <c r="J8" s="16" t="s">
        <v>108</v>
      </c>
      <c r="K8" s="5"/>
      <c r="L8" s="19" t="s">
        <v>108</v>
      </c>
      <c r="M8" s="19" t="s">
        <v>57</v>
      </c>
      <c r="N8" s="45" t="s">
        <v>48</v>
      </c>
      <c r="O8" s="46">
        <v>3</v>
      </c>
      <c r="P8" s="55">
        <f t="shared" si="0"/>
        <v>36</v>
      </c>
      <c r="Q8" s="55">
        <f t="shared" si="1"/>
        <v>45</v>
      </c>
      <c r="R8" s="37" t="s">
        <v>62</v>
      </c>
    </row>
    <row r="9" spans="1:18">
      <c r="A9" s="24">
        <v>46249</v>
      </c>
      <c r="B9" s="4" t="s">
        <v>24</v>
      </c>
      <c r="C9" s="89" t="s">
        <v>33</v>
      </c>
      <c r="D9" s="19"/>
      <c r="E9" s="17"/>
      <c r="F9" s="16"/>
      <c r="G9" s="18"/>
      <c r="H9" s="16"/>
      <c r="I9" s="16"/>
      <c r="J9" s="16"/>
      <c r="K9" s="5"/>
      <c r="L9" s="85" t="s">
        <v>118</v>
      </c>
      <c r="M9" s="19" t="s">
        <v>57</v>
      </c>
      <c r="N9" s="45" t="s">
        <v>38</v>
      </c>
      <c r="O9" s="46">
        <v>3</v>
      </c>
      <c r="P9" s="55">
        <f t="shared" si="0"/>
        <v>36</v>
      </c>
      <c r="Q9" s="55">
        <f t="shared" si="1"/>
        <v>45</v>
      </c>
      <c r="R9" s="37" t="s">
        <v>63</v>
      </c>
    </row>
    <row r="10" spans="1:18">
      <c r="A10" s="24">
        <v>46250</v>
      </c>
      <c r="B10" s="4" t="s">
        <v>25</v>
      </c>
      <c r="C10" s="89"/>
      <c r="D10" s="21"/>
      <c r="E10" s="21"/>
      <c r="F10" s="22"/>
      <c r="G10" s="6"/>
      <c r="H10" s="22"/>
      <c r="I10" s="21"/>
      <c r="J10" s="75"/>
      <c r="K10" s="5"/>
      <c r="L10" s="19" t="s">
        <v>115</v>
      </c>
      <c r="M10" s="19" t="s">
        <v>57</v>
      </c>
      <c r="N10" s="45" t="s">
        <v>37</v>
      </c>
      <c r="O10" s="46">
        <v>3</v>
      </c>
      <c r="P10" s="55">
        <f t="shared" si="0"/>
        <v>36</v>
      </c>
      <c r="Q10" s="55">
        <f t="shared" si="1"/>
        <v>45</v>
      </c>
      <c r="R10" s="37" t="s">
        <v>131</v>
      </c>
    </row>
    <row r="11" spans="1:18">
      <c r="A11" s="24">
        <v>46251</v>
      </c>
      <c r="B11" s="4" t="s">
        <v>19</v>
      </c>
      <c r="C11" s="90">
        <f>C8+1</f>
        <v>6</v>
      </c>
      <c r="D11" s="91"/>
      <c r="E11" s="91"/>
      <c r="F11" s="91"/>
      <c r="G11" s="6"/>
      <c r="H11" s="91"/>
      <c r="I11" s="91"/>
      <c r="J11" s="91"/>
      <c r="K11" s="5"/>
      <c r="L11" s="19" t="s">
        <v>109</v>
      </c>
      <c r="M11" s="19" t="s">
        <v>57</v>
      </c>
      <c r="N11" s="45" t="s">
        <v>49</v>
      </c>
      <c r="O11" s="46">
        <v>3</v>
      </c>
      <c r="P11" s="55">
        <f t="shared" si="0"/>
        <v>36</v>
      </c>
      <c r="Q11" s="55">
        <f t="shared" si="1"/>
        <v>45</v>
      </c>
      <c r="R11" s="37" t="s">
        <v>61</v>
      </c>
    </row>
    <row r="12" spans="1:18">
      <c r="A12" s="24">
        <v>46252</v>
      </c>
      <c r="B12" s="4" t="s">
        <v>20</v>
      </c>
      <c r="C12" s="90">
        <f>C11+1</f>
        <v>7</v>
      </c>
      <c r="D12" s="91"/>
      <c r="E12" s="91"/>
      <c r="F12" s="91"/>
      <c r="G12" s="6"/>
      <c r="H12" s="91"/>
      <c r="I12" s="91"/>
      <c r="J12" s="91"/>
      <c r="K12" s="5"/>
      <c r="L12" s="19" t="s">
        <v>110</v>
      </c>
      <c r="M12" s="19" t="s">
        <v>57</v>
      </c>
      <c r="N12" s="47" t="s">
        <v>50</v>
      </c>
      <c r="O12" s="46">
        <v>3</v>
      </c>
      <c r="P12" s="55">
        <f t="shared" si="0"/>
        <v>36</v>
      </c>
      <c r="Q12" s="55">
        <f t="shared" si="1"/>
        <v>45</v>
      </c>
      <c r="R12" s="37" t="s">
        <v>60</v>
      </c>
    </row>
    <row r="13" spans="1:18">
      <c r="A13" s="24">
        <v>46253</v>
      </c>
      <c r="B13" s="4" t="s">
        <v>21</v>
      </c>
      <c r="C13" s="90">
        <f t="shared" ref="C13:C16" si="3">C12+1</f>
        <v>8</v>
      </c>
      <c r="D13" s="86" t="s">
        <v>126</v>
      </c>
      <c r="E13" s="19" t="s">
        <v>103</v>
      </c>
      <c r="F13" s="17" t="s">
        <v>103</v>
      </c>
      <c r="G13" s="18"/>
      <c r="H13" s="16" t="s">
        <v>110</v>
      </c>
      <c r="I13" s="16" t="s">
        <v>110</v>
      </c>
      <c r="J13" s="87" t="s">
        <v>118</v>
      </c>
      <c r="K13" s="5"/>
      <c r="L13" s="19" t="s">
        <v>111</v>
      </c>
      <c r="M13" s="19" t="s">
        <v>57</v>
      </c>
      <c r="N13" s="47" t="s">
        <v>51</v>
      </c>
      <c r="O13" s="46">
        <v>3</v>
      </c>
      <c r="P13" s="55">
        <f t="shared" si="0"/>
        <v>36</v>
      </c>
      <c r="Q13" s="55">
        <f t="shared" si="1"/>
        <v>45</v>
      </c>
      <c r="R13" s="37" t="s">
        <v>64</v>
      </c>
    </row>
    <row r="14" spans="1:18">
      <c r="A14" s="24">
        <v>46254</v>
      </c>
      <c r="B14" s="4" t="s">
        <v>22</v>
      </c>
      <c r="C14" s="90">
        <f t="shared" si="3"/>
        <v>9</v>
      </c>
      <c r="D14" s="88" t="s">
        <v>116</v>
      </c>
      <c r="E14" s="17" t="s">
        <v>108</v>
      </c>
      <c r="F14" s="16" t="s">
        <v>108</v>
      </c>
      <c r="G14" s="18"/>
      <c r="H14" s="19" t="s">
        <v>113</v>
      </c>
      <c r="I14" s="16" t="s">
        <v>115</v>
      </c>
      <c r="J14" s="16" t="s">
        <v>115</v>
      </c>
      <c r="K14" s="5"/>
      <c r="L14" s="19" t="s">
        <v>112</v>
      </c>
      <c r="M14" s="19" t="s">
        <v>57</v>
      </c>
      <c r="N14" s="47" t="s">
        <v>52</v>
      </c>
      <c r="O14" s="48">
        <v>3</v>
      </c>
      <c r="P14" s="55">
        <f t="shared" si="0"/>
        <v>36</v>
      </c>
      <c r="Q14" s="55">
        <f t="shared" si="1"/>
        <v>45</v>
      </c>
      <c r="R14" s="37" t="s">
        <v>64</v>
      </c>
    </row>
    <row r="15" spans="1:18">
      <c r="A15" s="24">
        <v>46255</v>
      </c>
      <c r="B15" s="4" t="s">
        <v>23</v>
      </c>
      <c r="C15" s="90">
        <f t="shared" si="3"/>
        <v>10</v>
      </c>
      <c r="D15" s="19" t="s">
        <v>106</v>
      </c>
      <c r="E15" s="17" t="s">
        <v>106</v>
      </c>
      <c r="F15" s="16" t="s">
        <v>107</v>
      </c>
      <c r="G15" s="18"/>
      <c r="H15" s="16" t="s">
        <v>107</v>
      </c>
      <c r="I15" s="16" t="s">
        <v>113</v>
      </c>
      <c r="J15" s="16" t="s">
        <v>108</v>
      </c>
      <c r="K15" s="5"/>
      <c r="L15" s="19" t="s">
        <v>113</v>
      </c>
      <c r="M15" s="19" t="s">
        <v>57</v>
      </c>
      <c r="N15" s="45" t="s">
        <v>53</v>
      </c>
      <c r="O15" s="46">
        <v>3</v>
      </c>
      <c r="P15" s="55">
        <f t="shared" si="0"/>
        <v>36</v>
      </c>
      <c r="Q15" s="55">
        <f t="shared" si="1"/>
        <v>45</v>
      </c>
      <c r="R15" s="37" t="s">
        <v>132</v>
      </c>
    </row>
    <row r="16" spans="1:18">
      <c r="A16" s="24">
        <v>46256</v>
      </c>
      <c r="B16" s="4" t="s">
        <v>24</v>
      </c>
      <c r="C16" s="90">
        <f t="shared" si="3"/>
        <v>11</v>
      </c>
      <c r="D16" s="19" t="s">
        <v>107</v>
      </c>
      <c r="E16" s="17" t="s">
        <v>212</v>
      </c>
      <c r="F16" s="16" t="s">
        <v>213</v>
      </c>
      <c r="G16" s="18"/>
      <c r="H16" s="16" t="s">
        <v>111</v>
      </c>
      <c r="I16" s="16" t="s">
        <v>111</v>
      </c>
      <c r="J16" s="16"/>
      <c r="K16" s="5"/>
      <c r="L16" s="19" t="s">
        <v>103</v>
      </c>
      <c r="M16" s="19" t="s">
        <v>57</v>
      </c>
      <c r="N16" s="45" t="s">
        <v>54</v>
      </c>
      <c r="O16" s="46">
        <v>3</v>
      </c>
      <c r="P16" s="55">
        <f t="shared" si="0"/>
        <v>36</v>
      </c>
      <c r="Q16" s="55">
        <f t="shared" si="1"/>
        <v>45</v>
      </c>
      <c r="R16" s="37" t="s">
        <v>133</v>
      </c>
    </row>
    <row r="17" spans="1:10">
      <c r="A17" s="24">
        <v>46257</v>
      </c>
      <c r="B17" s="4" t="s">
        <v>25</v>
      </c>
      <c r="C17" s="90"/>
      <c r="D17" s="91"/>
      <c r="E17" s="91"/>
      <c r="F17" s="91"/>
      <c r="G17" s="6"/>
      <c r="H17" s="91"/>
      <c r="I17" s="91"/>
      <c r="J17" s="91"/>
    </row>
    <row r="19" spans="1:10">
      <c r="G19" s="93" t="s">
        <v>215</v>
      </c>
    </row>
  </sheetData>
  <mergeCells count="2">
    <mergeCell ref="A1:J1"/>
    <mergeCell ref="A2:J2"/>
  </mergeCells>
  <conditionalFormatting sqref="B1:B3">
    <cfRule type="cellIs" dxfId="1" priority="2" operator="equal">
      <formula>"Sat"</formula>
    </cfRule>
  </conditionalFormatting>
  <conditionalFormatting sqref="B4:B17">
    <cfRule type="containsText" dxfId="0" priority="1" operator="containsText" text="Sun">
      <formula>NOT(ISERROR(SEARCH("Sun",B4)))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Sec A</vt:lpstr>
      <vt:lpstr>Sec B</vt:lpstr>
      <vt:lpstr>Sec C</vt:lpstr>
      <vt:lpstr>Sec D</vt:lpstr>
      <vt:lpstr>Sec E</vt:lpstr>
      <vt:lpstr>Sec F</vt:lpstr>
      <vt:lpstr>Sec G</vt:lpstr>
      <vt:lpstr>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krishana saraswat</dc:creator>
  <cp:lastModifiedBy>krishana saraswat</cp:lastModifiedBy>
  <cp:lastPrinted>2026-01-12T06:30:29Z</cp:lastPrinted>
  <dcterms:created xsi:type="dcterms:W3CDTF">2024-12-06T10:21:28Z</dcterms:created>
  <dcterms:modified xsi:type="dcterms:W3CDTF">2026-08-15T10:21:16Z</dcterms:modified>
</cp:coreProperties>
</file>